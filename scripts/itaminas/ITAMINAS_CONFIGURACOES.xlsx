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io\Downloads\BLComunicacoes\Realiza\realiza\scripts\itaminas\"/>
    </mc:Choice>
  </mc:AlternateContent>
  <xr:revisionPtr revIDLastSave="0" documentId="13_ncr:1_{875C8D1E-C9C2-4104-9EFE-F5DF8D344906}" xr6:coauthVersionLast="47" xr6:coauthVersionMax="47" xr10:uidLastSave="{00000000-0000-0000-0000-000000000000}"/>
  <bookViews>
    <workbookView xWindow="-28920" yWindow="3975" windowWidth="29040" windowHeight="15720" xr2:uid="{00000000-000D-0000-FFFF-FFFF00000000}"/>
  </bookViews>
  <sheets>
    <sheet name="CLIENTE" sheetId="4" r:id="rId1"/>
    <sheet name="UNIDADES" sheetId="1" r:id="rId2"/>
    <sheet name="USUARIOS" sheetId="2" r:id="rId3"/>
    <sheet name="FORNECEDORES" sheetId="3" r:id="rId4"/>
  </sheets>
  <definedNames>
    <definedName name="_xlnm._FilterDatabase" localSheetId="1">UNIDADES!$A$1:$H$1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 a="1"/>
  <c r="J6" i="2" s="1"/>
  <c r="F6" i="2" a="1"/>
  <c r="F6" i="2" s="1"/>
  <c r="K6" i="2" l="1"/>
  <c r="K17" i="2"/>
  <c r="K18" i="2"/>
  <c r="K16" i="2"/>
  <c r="K15" i="2"/>
  <c r="K20" i="2"/>
  <c r="K14" i="2"/>
  <c r="K13" i="2"/>
  <c r="K12" i="2"/>
  <c r="K11" i="2"/>
  <c r="K10" i="2"/>
  <c r="K9" i="2"/>
  <c r="K8" i="2"/>
  <c r="K19" i="2"/>
  <c r="K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<sst xmlns="http://schemas.openxmlformats.org/spreadsheetml/2006/main" count="1994" uniqueCount="574">
  <si>
    <t>Endereço</t>
  </si>
  <si>
    <t>CEP</t>
  </si>
  <si>
    <t>Cidade</t>
  </si>
  <si>
    <t>Estado</t>
  </si>
  <si>
    <t>País</t>
  </si>
  <si>
    <t>Telefone - 1</t>
  </si>
  <si>
    <t>Cantina</t>
  </si>
  <si>
    <t>Itaminas Comercio de Minerios SA</t>
  </si>
  <si>
    <t>18.752.824/0001-83</t>
  </si>
  <si>
    <t>31 3580- 0450</t>
  </si>
  <si>
    <t>Administrativa</t>
  </si>
  <si>
    <t>Faz do Engenho Seco s/n Zona Rural</t>
  </si>
  <si>
    <t>Sarzedo</t>
  </si>
  <si>
    <t>Minas Gerais</t>
  </si>
  <si>
    <t>Compras</t>
  </si>
  <si>
    <t>Custos, Orçamento e Contratos</t>
  </si>
  <si>
    <t>Engenharia Elétrica e Automação</t>
  </si>
  <si>
    <t>Engenharia Mecânica</t>
  </si>
  <si>
    <t>Filtragem</t>
  </si>
  <si>
    <t>Engenharia de Processamento Mineral</t>
  </si>
  <si>
    <t>Geotecnia</t>
  </si>
  <si>
    <t>Infraestrutura</t>
  </si>
  <si>
    <t>Logística</t>
  </si>
  <si>
    <t>Manutenção Mecânica Industrial</t>
  </si>
  <si>
    <t>Meio Ambiente</t>
  </si>
  <si>
    <t>Planejamento de Lavra e Geologia</t>
  </si>
  <si>
    <t>Segurança do Trabalho</t>
  </si>
  <si>
    <t>Recursos Humanos</t>
  </si>
  <si>
    <t>Compliance</t>
  </si>
  <si>
    <t>Tecnologia da Informação</t>
  </si>
  <si>
    <t>Suprimentos</t>
  </si>
  <si>
    <t>Planejamento de Controle e Produção</t>
  </si>
  <si>
    <t>Posto de Combustível</t>
  </si>
  <si>
    <t>Medicina do trabalho</t>
  </si>
  <si>
    <t>Itaminas - Medicina do trabalho</t>
  </si>
  <si>
    <t xml:space="preserve">Administrativa </t>
  </si>
  <si>
    <t>Gestão de Projetos</t>
  </si>
  <si>
    <t>32.450-000</t>
  </si>
  <si>
    <t>Brasil</t>
  </si>
  <si>
    <t>E-mail</t>
  </si>
  <si>
    <t>Alexandre Picorelli De Oliveira</t>
  </si>
  <si>
    <t>111.111.111-11</t>
  </si>
  <si>
    <t>alexandre.oliveira@itaminas.com.br</t>
  </si>
  <si>
    <t>Beatriz Abreu De Oliveira</t>
  </si>
  <si>
    <t>beatriz.oliveira@itaminas.com.br</t>
  </si>
  <si>
    <t>Bruno César Da Costa</t>
  </si>
  <si>
    <t>bruno.costa@itaminas.com.br</t>
  </si>
  <si>
    <t>Daniel José Queiroz Dos Santos</t>
  </si>
  <si>
    <t>daniel.santos@itaminas.com.br</t>
  </si>
  <si>
    <t>Daniela Priscila De Souza Lima</t>
  </si>
  <si>
    <t>daniela@itaminas.com.br</t>
  </si>
  <si>
    <t>Delano Vagner Noronha</t>
  </si>
  <si>
    <t>delano.noronha@itaminas.com.br</t>
  </si>
  <si>
    <t>Diogo Gonçalves Santos</t>
  </si>
  <si>
    <t>diogo.santos@itaminas.com.br</t>
  </si>
  <si>
    <t>Fernanda Das Graças Dias Lima</t>
  </si>
  <si>
    <t>teste@teste.com.br</t>
  </si>
  <si>
    <t>Fernanda Silva De Oliveira</t>
  </si>
  <si>
    <t>fernanda.oliveira@itaminas.com.br</t>
  </si>
  <si>
    <t>Gedeon Junio Da Silva</t>
  </si>
  <si>
    <t>gedeon@itaminas.com.br</t>
  </si>
  <si>
    <t>Henrique Lucas Freire De Faria</t>
  </si>
  <si>
    <t>henrique.faria@itaminas.com.br</t>
  </si>
  <si>
    <t>Heverton De Paula</t>
  </si>
  <si>
    <t>heverton.paula@itaminas.com.br</t>
  </si>
  <si>
    <t>João Marcos Da Silva Rezende</t>
  </si>
  <si>
    <t>joao.rezende@itaminas.com.br</t>
  </si>
  <si>
    <t>Jonathan Felipe Fonseca Henriques</t>
  </si>
  <si>
    <t>jonathan.henriques@itaminas.com.br</t>
  </si>
  <si>
    <t>Jordana Coelho Cardoso</t>
  </si>
  <si>
    <t>jordana.cardoso@itaminas.com.br</t>
  </si>
  <si>
    <t>Luana Jessica Oliveira Carmo</t>
  </si>
  <si>
    <t>luana.oliveira@itaminas.com.br</t>
  </si>
  <si>
    <t>Luciano Fonseca Freitas</t>
  </si>
  <si>
    <t>luciano.freitas@itaminas.com.br</t>
  </si>
  <si>
    <t>Luciano Samuel Carneiro</t>
  </si>
  <si>
    <t>luciano.samuel@itaminas.com.br</t>
  </si>
  <si>
    <t>Nilo Santos Miranda</t>
  </si>
  <si>
    <t>nilo@itaminas.com.br</t>
  </si>
  <si>
    <t>Philippi Cesar Quintao Ferreira</t>
  </si>
  <si>
    <t>philippi@itaminas.com.br</t>
  </si>
  <si>
    <t>Rainnara Luzia Amaral Freitas</t>
  </si>
  <si>
    <t>rainnara.freitas@itaminas.com.br</t>
  </si>
  <si>
    <t>Rodrigo Da Silva Lima</t>
  </si>
  <si>
    <t>rodrigo.lima@itaminas.com.br</t>
  </si>
  <si>
    <t>Rosilene Santos</t>
  </si>
  <si>
    <t>rosilene.santos@itaminas.com.br</t>
  </si>
  <si>
    <t>Scharmack Alessandro Dias Vieira</t>
  </si>
  <si>
    <t>scharmack.vieira@itaminas.com.br</t>
  </si>
  <si>
    <t>Simone Paula Torres Drates</t>
  </si>
  <si>
    <t>simone.drates@itaminas.com.br</t>
  </si>
  <si>
    <t>Tibério Tovazzi Lambert</t>
  </si>
  <si>
    <t>tiberio.lambert@itaminas.com.br</t>
  </si>
  <si>
    <t>Victoria Da Silva Ribeiro</t>
  </si>
  <si>
    <t>victoria.ribeiro@itaminas.com.br</t>
  </si>
  <si>
    <t>Yuri Alves</t>
  </si>
  <si>
    <t>yuri.alves@itaminas.com.br</t>
  </si>
  <si>
    <t>Referência Contrato</t>
  </si>
  <si>
    <t>Tipo do Serviço</t>
  </si>
  <si>
    <t>Gestor</t>
  </si>
  <si>
    <t>Email Gestor</t>
  </si>
  <si>
    <t>Serviço Ativo?</t>
  </si>
  <si>
    <t>Data de Término</t>
  </si>
  <si>
    <t>Avaliação do Serviço</t>
  </si>
  <si>
    <t>userDesativacao</t>
  </si>
  <si>
    <t>Ponto Focal</t>
  </si>
  <si>
    <t>Tipo de Gestor</t>
  </si>
  <si>
    <t>Data Envio Convite</t>
  </si>
  <si>
    <t>E-mail Envio Convite</t>
  </si>
  <si>
    <t>ANTONIO EUSTAQUIO DE OLIVEIRA 25545019634</t>
  </si>
  <si>
    <t>Itaminas - Cantina</t>
  </si>
  <si>
    <t>Mineração</t>
  </si>
  <si>
    <t>Convite Enviado</t>
  </si>
  <si>
    <t>Não Avaliado</t>
  </si>
  <si>
    <t>antoniooliveira.assistencia@gmail.com</t>
  </si>
  <si>
    <t>PURIFIKAR COMERCIO E DISTRIBUIDORA LTDA</t>
  </si>
  <si>
    <t xml:space="preserve"> MANUTENÇÃO DOS APARELHOS PURIFICADORES E AROMATIZADORES DE AMBIENTES MARCA WINDCLEAN</t>
  </si>
  <si>
    <t>Serviço de Manutenção Sistema de Refrigeração</t>
  </si>
  <si>
    <t>Itaminas Realiza</t>
  </si>
  <si>
    <t>itaminas@realizaassessoria.com.br</t>
  </si>
  <si>
    <t>Ativo</t>
  </si>
  <si>
    <t>ANTONIO NUNES DE BRITO</t>
  </si>
  <si>
    <t>Itaminas - Administrativa</t>
  </si>
  <si>
    <t>deltacontabilidade.srz@hotmail.com</t>
  </si>
  <si>
    <t>CASTEL SERVICOS LTDA</t>
  </si>
  <si>
    <t>tecnologia@casteltelecom.com.br</t>
  </si>
  <si>
    <t>CTA COMERCIO DE CONTROLES ELETRONICOS S.A.</t>
  </si>
  <si>
    <t>guilherme.pimenta@ctasmart.com.br</t>
  </si>
  <si>
    <t>VIACAO GW LTDA</t>
  </si>
  <si>
    <t>diretoria@gwtransportes.com.br</t>
  </si>
  <si>
    <t>CATALOG HUB MASTER DATA SISTEMAS E CONSULTORIA S.A.</t>
  </si>
  <si>
    <t>Itaminas - Compras</t>
  </si>
  <si>
    <t>Serviços de Tecnologia da Informação</t>
  </si>
  <si>
    <t>Concluído</t>
  </si>
  <si>
    <t>Larissa Monteiro</t>
  </si>
  <si>
    <t>tadeu@chmasterdata.com</t>
  </si>
  <si>
    <t>AMJ TRANSPORTES LTDA</t>
  </si>
  <si>
    <t>Fornecimento/mobilização de mão de obra à operação</t>
  </si>
  <si>
    <t>000006/2024</t>
  </si>
  <si>
    <t>Remoção e Transporte de Resíduos</t>
  </si>
  <si>
    <t>amjtransportesltda1@gmail.com</t>
  </si>
  <si>
    <t>ASSOCIACAO DOS TRANSPORTADORES DE MINERIO DE SARZEDO</t>
  </si>
  <si>
    <t>Transporte rodoviário de minério de ferro</t>
  </si>
  <si>
    <t>000002/2008</t>
  </si>
  <si>
    <t>atmssarzedo@yahoo.com.br</t>
  </si>
  <si>
    <t>IMP TRANSPORTES MG LTDA</t>
  </si>
  <si>
    <t>Aspersão das vias e lavagem das ruas e acesso</t>
  </si>
  <si>
    <t>Zeladoria</t>
  </si>
  <si>
    <t>Imptransporteslocksim@gmail.com</t>
  </si>
  <si>
    <t>LOCKSIM LOGISTICA LTDA</t>
  </si>
  <si>
    <t>locksimmg@gmail.com</t>
  </si>
  <si>
    <t>TRANSPORTES SARZEDO LTDA</t>
  </si>
  <si>
    <t>Transportes, escavação e carga de materiais, fornecimento de equipamentos</t>
  </si>
  <si>
    <t>000002/1997</t>
  </si>
  <si>
    <t>Carga e descarga de caminhões</t>
  </si>
  <si>
    <t>Jamile Fernandes</t>
  </si>
  <si>
    <t>patricia.souza@tslsolucoes.com.br</t>
  </si>
  <si>
    <t>ADOLPHO LEONI NETO</t>
  </si>
  <si>
    <t>Supervisão em proteção radiológica/radioproteção, treinamentos para formação e reciclagem</t>
  </si>
  <si>
    <t>000039/2022</t>
  </si>
  <si>
    <t>Atividades em área fabril que incluam alto risco</t>
  </si>
  <si>
    <t>Geovanna Souza</t>
  </si>
  <si>
    <t>adolpholeonineto@gmail.com</t>
  </si>
  <si>
    <t>ALTA ENERGIA - SAVASSI LTDA</t>
  </si>
  <si>
    <t xml:space="preserve">Administração e gerenciamento da contrução da subestação 138kV </t>
  </si>
  <si>
    <t>Administrativos</t>
  </si>
  <si>
    <t>pedro@paratyenergia.com.br</t>
  </si>
  <si>
    <t>AMBIENTIS RADIOPROTECAO LTDA</t>
  </si>
  <si>
    <t>Consultoria em radioproteção</t>
  </si>
  <si>
    <t>Tiberio Tovazzi Lambert</t>
  </si>
  <si>
    <t>BELEZA  FILHOS TRANSPORTE E LOCACAO LTDA</t>
  </si>
  <si>
    <t>Locação de caminhão Munck</t>
  </si>
  <si>
    <t>000053/2022</t>
  </si>
  <si>
    <t>Atividades em área fabril que não incluam alto risco</t>
  </si>
  <si>
    <t>ELETRO PAINEL E MONTAGEM LTDA</t>
  </si>
  <si>
    <t>Itaminas - Eng. Elet. e Aut.</t>
  </si>
  <si>
    <t>erick.correa@grupoeletropainel.com.br</t>
  </si>
  <si>
    <t>FUSION ENERGIA LTDA</t>
  </si>
  <si>
    <t>Serviços especializados em montagens eletromecânicas, manutenções em instalações industriais e projetos elétricos, com fornecimento de mão de obra especializada</t>
  </si>
  <si>
    <t>000012/2023</t>
  </si>
  <si>
    <t>marcelo.projetos@fusionltda.com</t>
  </si>
  <si>
    <t>MEGA COMPUTADORES E PERIFERICOS LTDA</t>
  </si>
  <si>
    <t>MANUTENÇÃO PREVENTIVA E CORRETIVA EM NOBREAK</t>
  </si>
  <si>
    <t>suporte@megacomputadoresmg.com.br</t>
  </si>
  <si>
    <t>NKC MANUTENCAO E MONTAGEM INDUSTRIAL LTDA</t>
  </si>
  <si>
    <t>Serviços de manutenção eletromecânica</t>
  </si>
  <si>
    <t>000058/2023</t>
  </si>
  <si>
    <t>niger.melo@nkcengenharia.com.br</t>
  </si>
  <si>
    <t>RR LOCACOES DE MUNCK DE MAQUINAS E EQUIPAMENTOS LTDA</t>
  </si>
  <si>
    <t>Locação de caminhão com fornecimento de mão de obra</t>
  </si>
  <si>
    <t>00027/2023</t>
  </si>
  <si>
    <t>reinabhz.adm.rr@gmail.com</t>
  </si>
  <si>
    <t>SARTORI ELETRICA LTDA</t>
  </si>
  <si>
    <t>Mão de obra especializada para montagens eletromecânicas, manutenções em instalações industriais e serviços de projetos elétricos</t>
  </si>
  <si>
    <t>000001/2021</t>
  </si>
  <si>
    <t>sartorieletricamg@gmail.com</t>
  </si>
  <si>
    <t>SHOCK ENGENHARIA LTDA</t>
  </si>
  <si>
    <t xml:space="preserve">Fornecimento de mão-de-obra especializada de engenharia elétrica </t>
  </si>
  <si>
    <t>Serviços de infraestrutura tecnologia</t>
  </si>
  <si>
    <t>vinicius@shockengenharia.com.br</t>
  </si>
  <si>
    <t>SM  A SISTEMAS ELETRICOS S.A</t>
  </si>
  <si>
    <t>Engenharia conceitual, nas modalidades elétrica e de automação</t>
  </si>
  <si>
    <t>Serviços de Engenharia</t>
  </si>
  <si>
    <t>TSA TECNOLOGIA DE SISTEMAS DE AUTOMACAO SA</t>
  </si>
  <si>
    <t>Prestação de serviços sob o modelo guarda-chuva, de serviços técnicos especializados nas áreas elétrica e eletromecânica</t>
  </si>
  <si>
    <t>AA LOCACAO DE MUNCK LTDA</t>
  </si>
  <si>
    <t>Itaminas - Eng. Mecanica</t>
  </si>
  <si>
    <t>Philippi Cesar Quintão Ferreira</t>
  </si>
  <si>
    <t>danielacris27@gmail.com</t>
  </si>
  <si>
    <t>ARC AR COMPRIMIDO LTDA</t>
  </si>
  <si>
    <t>Serviços de Manutenção</t>
  </si>
  <si>
    <t>seguranca.shirley@arcomprimido.com.br</t>
  </si>
  <si>
    <t>EMAX ESTRUTURAS E MONTAGENS LTDA</t>
  </si>
  <si>
    <t>orcamento@emax.ind.br</t>
  </si>
  <si>
    <t>IMIC - INDUSTRIA MECANICA IRMAOS CORGOZINHO LTDA.</t>
  </si>
  <si>
    <t>gabrielly.marinho@imic.com.br</t>
  </si>
  <si>
    <t>PMEC EQUIPAMENTOS INDUSTRIAIS LTDA</t>
  </si>
  <si>
    <t>FORNECIMENTO DE EQUIPAMENTOS PARA APLICAÇÃO EM TRANSPORTADORES DE CORREIA</t>
  </si>
  <si>
    <t>pmec@pmec.ind.br</t>
  </si>
  <si>
    <t>REINA GUINDALTO LOCACOES DE MAQUINAS E EQUIPAMENTOS DE REBOQUE E GUINCHO LTDA.</t>
  </si>
  <si>
    <t>reinaguindaste@yahoo.com.br</t>
  </si>
  <si>
    <t>METSO BRASIL INDUSTRIA E COMERCIO LTDA</t>
  </si>
  <si>
    <t>Prestação de serviços especializados de rebritagem de minério de ferro</t>
  </si>
  <si>
    <t>databook@informatecservicos.com.br</t>
  </si>
  <si>
    <t>daniele.helena@metso.com</t>
  </si>
  <si>
    <t>NEOGEO GEOTECNOLOGIA LTDA</t>
  </si>
  <si>
    <t>Investigação geofísica in situ (aquisição, processamento e interpretação) e interação com dados pré existentes e relatórios técnicos</t>
  </si>
  <si>
    <t>Análises Ambientais</t>
  </si>
  <si>
    <t>PLUS MINERAL SA</t>
  </si>
  <si>
    <t>SERVIÇO DE SEGREGAÇÃO DE REJEITO MINERAL ORIUNDO DA PLANTA DE PROCESSAMENTO DA CONTRATANTE, UTILIZANDO EQUIPAMENTO PRÓPRIO A SER MONTADO</t>
  </si>
  <si>
    <t>DJALMA.NERE@PLUSMINERAL.COM.BR</t>
  </si>
  <si>
    <t>SONDA ENGENHARIA GEOTECNICA LTDA</t>
  </si>
  <si>
    <t>Sondagens à percussão, sondagens mistas, poço de inspeção, e demais atividades</t>
  </si>
  <si>
    <t>apoiosondagem@grupoprojetaengenharia.com.br</t>
  </si>
  <si>
    <t>AGREGAR CAPITAL COMERCIO E SERVICOS LTDA</t>
  </si>
  <si>
    <t>Itaminas - Infraestrutura</t>
  </si>
  <si>
    <t>ARTUR VIANA PEREIRA JUNIOR 05019213624</t>
  </si>
  <si>
    <t>Aspersão de jardins, gramados e vias com caminhão pipa.</t>
  </si>
  <si>
    <t>Limpeza e jardinagem</t>
  </si>
  <si>
    <t>vianareboquetransportes@gmail.com</t>
  </si>
  <si>
    <t>COLLEM CONSTRUTORA MOHALLEM LTDA</t>
  </si>
  <si>
    <t>Execução de obra civil</t>
  </si>
  <si>
    <t>000006/2021</t>
  </si>
  <si>
    <t>Obras civis</t>
  </si>
  <si>
    <t>anaflavia@collem.com.br</t>
  </si>
  <si>
    <t>DHANYA LUIZA DA SILVA RODRIGUES 11144437601</t>
  </si>
  <si>
    <t xml:space="preserve">Instalação do sistema de irrigação						</t>
  </si>
  <si>
    <t>aquarelairrigacao@gmail.com</t>
  </si>
  <si>
    <t>DIAS SERVICOS DE CONSULTORIA E PROJETOS LTDA</t>
  </si>
  <si>
    <t>marcelo.madeira@engemectopografia.com.br</t>
  </si>
  <si>
    <t>DL TREINAMENTOS LTDA</t>
  </si>
  <si>
    <t>Diagnóstico operacional da empresa</t>
  </si>
  <si>
    <t>contato@dltreinamentos.com</t>
  </si>
  <si>
    <t>EBC CLIMATIZACAO LTDA</t>
  </si>
  <si>
    <t>Ebcclimatizacao@gmail.com</t>
  </si>
  <si>
    <t>ENCADE MATERIAIS E INSTALACOES LTDA</t>
  </si>
  <si>
    <t xml:space="preserve">Execução do Sistema de Prevenção e Combate à Incêndio						</t>
  </si>
  <si>
    <t>paulo@encadprojetos.com.br</t>
  </si>
  <si>
    <t>FLORA SALES LTDA</t>
  </si>
  <si>
    <t>Manutenção de jardinagem, plantio de árvores e gramas e limpeza de vias</t>
  </si>
  <si>
    <t>000005/2021</t>
  </si>
  <si>
    <t>florasales@terra.com.br</t>
  </si>
  <si>
    <t>GDF SOCIEDADE EMPRESARIAL LTDA</t>
  </si>
  <si>
    <t>HIDRO SOLUCOES AMBIENTAIS LTDA.</t>
  </si>
  <si>
    <t>oswaldo.com@hsambiental.com.br</t>
  </si>
  <si>
    <t>JARDIMTEC LTDA</t>
  </si>
  <si>
    <t>diretoria@jardimtecservicos.com.br</t>
  </si>
  <si>
    <t>eyde.mob@jardimtecservicos.com.br</t>
  </si>
  <si>
    <t>JF SERRALHERIA E CONSULTORIA LTDA</t>
  </si>
  <si>
    <t>Serralheria</t>
  </si>
  <si>
    <t>joseflorisvaldo.cardoso@gmail.com</t>
  </si>
  <si>
    <t>J JUNIOR LTDA</t>
  </si>
  <si>
    <t>jjuniorjardinagem@hotmail.com</t>
  </si>
  <si>
    <t>LEAD SERVICOS FUNDIARIOS LTDA</t>
  </si>
  <si>
    <t>luciana.amarante@leadconsultores.com</t>
  </si>
  <si>
    <t>LNS ESTRUTURAS E EVENTOS LTDA</t>
  </si>
  <si>
    <t>Prestação de serviços de manutenção preventiva e corretiva</t>
  </si>
  <si>
    <t>LOK PIRAMIDE LTDA</t>
  </si>
  <si>
    <t>segurancadotrabalho@lokpiramide.com.br</t>
  </si>
  <si>
    <t>MARGEN PRODUCOES E ESTRUTURAS LTDA</t>
  </si>
  <si>
    <t>bettohmeventos@gmail.com</t>
  </si>
  <si>
    <t>MG TELHADOS LTDA</t>
  </si>
  <si>
    <t>Reforma e pintura em geral</t>
  </si>
  <si>
    <t>000109/2023</t>
  </si>
  <si>
    <t>contato@mgtelhados.com.br</t>
  </si>
  <si>
    <t>MOBI SERVICES LTDA</t>
  </si>
  <si>
    <t>SERVIÇOS DE MONTAGEM DE MOVEIS</t>
  </si>
  <si>
    <t>Montagem industrial</t>
  </si>
  <si>
    <t>ronei.valadares@mobiliabh.com.br</t>
  </si>
  <si>
    <t>OPUS EMPREENDIMENTOS IMOBILIARIOS LTDA</t>
  </si>
  <si>
    <t>Serviços de pavimentação, mão de obra para execução de calçamento</t>
  </si>
  <si>
    <t>000025/2023</t>
  </si>
  <si>
    <t>opusempreendimentos@yahoo.com</t>
  </si>
  <si>
    <t>OSWALDO GONCALVES DA SILVA-CPF.372.357.886-15</t>
  </si>
  <si>
    <t>000034/2021</t>
  </si>
  <si>
    <t>sspservicos@hotmail.com</t>
  </si>
  <si>
    <t>SALVIANO SILVA SANTOS MANUTENCAO</t>
  </si>
  <si>
    <t>Realizar a limpeza e conservação de linhas ferroviárias e limpeza de pátios e vagões</t>
  </si>
  <si>
    <t>administrativo@santosmanutencao.com</t>
  </si>
  <si>
    <t>SARCON SARZEDO CONSTRUCOES LTDA</t>
  </si>
  <si>
    <t>ronaldo.sarcon@hotmail.com</t>
  </si>
  <si>
    <t>SUPER - MAK SERVICOS LTDA</t>
  </si>
  <si>
    <t>contatosupermak@gmail.com</t>
  </si>
  <si>
    <t>TECNOLOC LOCACOES DE MAQUINAS E EQUIPAMENTOS SA</t>
  </si>
  <si>
    <t>Locação de Máquinas e Equipamentos</t>
  </si>
  <si>
    <t>TOLEDO DO BRASIL INDUSTRIA DE BALANCAS LTDA</t>
  </si>
  <si>
    <t>WV DELTA ENGENHARIA E PROJETOS LTDA</t>
  </si>
  <si>
    <t>Elaborar projetos conforme especificação e recomendações técnicas.</t>
  </si>
  <si>
    <t>wagner.vicente@engemectopografia.com.br</t>
  </si>
  <si>
    <t>A.A.L TRANSPORTADORA 16 IRMAOS LTDA</t>
  </si>
  <si>
    <t>Itaminas - Logística</t>
  </si>
  <si>
    <t>aalanmartins1234@gmail.com</t>
  </si>
  <si>
    <t>AAM TRANSPORTADORA DEZESSETE IRMAOS LTDA</t>
  </si>
  <si>
    <t>aamtransportes67@gmail.com</t>
  </si>
  <si>
    <t>AGATA TRANSPORTES LTDA</t>
  </si>
  <si>
    <t>agatatransportesmg@gmail.com</t>
  </si>
  <si>
    <t>AIZA RENTAL LOCACOES E EMPREENDIMENTOS LTDA</t>
  </si>
  <si>
    <t>aizarental@yahoo.com</t>
  </si>
  <si>
    <t>ALT TRANSPORTES LTDA</t>
  </si>
  <si>
    <t>martinsjair425@gmail.com</t>
  </si>
  <si>
    <t>AMAURI PINHEIRO DA SILVA LTDA</t>
  </si>
  <si>
    <t>deltacontabilidadegp.srz@gmail.com</t>
  </si>
  <si>
    <t>AMAURI TRANSPORTES LTDA</t>
  </si>
  <si>
    <t>contabilidadelms@gmail.com</t>
  </si>
  <si>
    <t>AMTL AMBROSIOS TRANSPORTES LTDA</t>
  </si>
  <si>
    <t>transportesamtl@gmail.com</t>
  </si>
  <si>
    <t>AWA TRANSPORTES LTDA</t>
  </si>
  <si>
    <t>antoniowilson71@outlook.com</t>
  </si>
  <si>
    <t>CG TRANSPORTES LTDA</t>
  </si>
  <si>
    <t>cgtransportedoc@gmail.com</t>
  </si>
  <si>
    <t>EDUARDO ANTONIO DE OLIVEIRA</t>
  </si>
  <si>
    <t>eduardooliveiratvm@hotmail.com</t>
  </si>
  <si>
    <t>EDUARDOS TRANSPORTES LTDA</t>
  </si>
  <si>
    <t>eduardostransportes@yahoo.com</t>
  </si>
  <si>
    <t>EOR TRANSPORTES LTDA</t>
  </si>
  <si>
    <t>igorsouza0329@gmail.com</t>
  </si>
  <si>
    <t>FABIO ALVES DE OLIVEIRA</t>
  </si>
  <si>
    <t>jgtransporte2024@hotmail.com</t>
  </si>
  <si>
    <t>FLAVIO FERREIRA DA SILVA LTDA</t>
  </si>
  <si>
    <t>flavioparts@gmail.com</t>
  </si>
  <si>
    <t>GLOBAL MINING LTDA</t>
  </si>
  <si>
    <t>diretoria@globalmining.com.br</t>
  </si>
  <si>
    <t>GM TRANSPORTES LTDA</t>
  </si>
  <si>
    <t>gemtransportes1@hotmail.com</t>
  </si>
  <si>
    <t>HE TRANSPORTES LTDA</t>
  </si>
  <si>
    <t>hhetransporte@gmail.com</t>
  </si>
  <si>
    <t>JAB TRANSPORTADORA LTDA</t>
  </si>
  <si>
    <t>gilbertooliveiragoncalves13@gmail.com</t>
  </si>
  <si>
    <t>jabtransportadora@gmail.com</t>
  </si>
  <si>
    <t>JAIME MARTINS DE OLIVEIRA TECO</t>
  </si>
  <si>
    <t>jaimemartinsdeoliveira15237@gmail.com</t>
  </si>
  <si>
    <t>J.E. TRANSPORTE LTDA</t>
  </si>
  <si>
    <t>Ita</t>
  </si>
  <si>
    <t>julianomartins2409@gmail.com</t>
  </si>
  <si>
    <t>J.F.G TRANSPORTE LTDA</t>
  </si>
  <si>
    <t xml:space="preserve"> prestação de serviço que compreende o fornecimento de equipamento e mão de obra para o transporte de mineiro na mais diversa forma de serviço: formando pilhas carregamento de vagão</t>
  </si>
  <si>
    <t>JG TRANSPORTES LTDA</t>
  </si>
  <si>
    <t>joao.antoniorez@gmail.com</t>
  </si>
  <si>
    <t>LEANDRO GERALDO MOREIRA DA SILVA</t>
  </si>
  <si>
    <t>moreiratransportedoc@gmail.com</t>
  </si>
  <si>
    <t>LEMOS TRANSPORTES E COMERCIO LTDA</t>
  </si>
  <si>
    <t>lemostransportesadriano@yahoo.com</t>
  </si>
  <si>
    <t>LGC TRANSPORTES LTDA</t>
  </si>
  <si>
    <t>lgctransportedecargas@gmail.com</t>
  </si>
  <si>
    <t>LGW TRANSPORTES LTDA</t>
  </si>
  <si>
    <t>lgwtransportes@yahoo.com</t>
  </si>
  <si>
    <t>LIBERT LOCACOES LTDA</t>
  </si>
  <si>
    <t>nayara.muro@gmail.com</t>
  </si>
  <si>
    <t>LIDERANCA MINERACAO E LOCACAO DE MAQUINAS LTDA.</t>
  </si>
  <si>
    <t>liderancamineracao33@hotmail.com</t>
  </si>
  <si>
    <t>LUIZ CLAUDIO DA ROCHA</t>
  </si>
  <si>
    <t>luizclaudiorochame@yahoo.com.br</t>
  </si>
  <si>
    <t>MAQUIVILA TRANSPORTES E LOCACAO LTDA</t>
  </si>
  <si>
    <t>maquivila@gmail.com</t>
  </si>
  <si>
    <t>MAURILIO SEBASTIAO DE OLIVEIRA</t>
  </si>
  <si>
    <t>wudsondeoliveirafirmo@gmail.com</t>
  </si>
  <si>
    <t>MAZ QUATRO IRMAOS TRANSPORTES LTDA</t>
  </si>
  <si>
    <t>maz4transportesmg@gmail.com</t>
  </si>
  <si>
    <t>MINEXX SERVICOS ESPECIAIS DE MINERACAO LTDA</t>
  </si>
  <si>
    <t>juliana.pacheco@minexx.com.br</t>
  </si>
  <si>
    <t>MONICA FORTES MARTINS ROCHA</t>
  </si>
  <si>
    <t>monicafortes243@gmail.com</t>
  </si>
  <si>
    <t>MP TRANSPORTES LTDA</t>
  </si>
  <si>
    <t>mptransportes56@gmail.com</t>
  </si>
  <si>
    <t>MURO TERRAPLENAGEM LTDA</t>
  </si>
  <si>
    <t xml:space="preserve">Locação de Escavadeira e Pá-Carregadeira 				</t>
  </si>
  <si>
    <t>robertoeustaquio.muro@gmail.com</t>
  </si>
  <si>
    <t>MVS TRANSPORTES LTDA</t>
  </si>
  <si>
    <t>mvstransportes@outlook.com.br</t>
  </si>
  <si>
    <t>NOSSA EMPRESA DE TRANSPORTE LTDA</t>
  </si>
  <si>
    <t>gmartins.vilanova@gmail.com</t>
  </si>
  <si>
    <t>OLIGO TRANSPORTES E SERVICOS LTDA</t>
  </si>
  <si>
    <t>renato.oligo@hotmail.com</t>
  </si>
  <si>
    <t>RC TRANSPORTES LTDA</t>
  </si>
  <si>
    <t>rc.transloc@gmail.com</t>
  </si>
  <si>
    <t>REIS  MENDES TRANSPORTES LTDA</t>
  </si>
  <si>
    <t>reisemendes@hotmail.com</t>
  </si>
  <si>
    <t>ROGERIO BATISTA DAS CHAGAS</t>
  </si>
  <si>
    <t>rogeriobatistaita@gmail.com</t>
  </si>
  <si>
    <t>RR RETROS TRANSPORTES E SERVICOS LTDA</t>
  </si>
  <si>
    <t>giovani_nascimento@hotmail.com</t>
  </si>
  <si>
    <t>SJJ TRANSPORTES LTDA</t>
  </si>
  <si>
    <t>administrativo@atmssarzedo.com.br</t>
  </si>
  <si>
    <t>STEFANY TRANSPORTES LTDA</t>
  </si>
  <si>
    <t>fabianoaguiarcampos@hotmail.com</t>
  </si>
  <si>
    <t>STRALIS TRANSPORTES LTDA</t>
  </si>
  <si>
    <t>jandir@tslsolucoes.com.br</t>
  </si>
  <si>
    <t>TAG SERVICOS E TERRAPLENAGEM LTDA</t>
  </si>
  <si>
    <t>tagservicos19@gmail.com</t>
  </si>
  <si>
    <t>TATAO TRANSPORTES LTDA</t>
  </si>
  <si>
    <t>leandromartins91@icloud.com</t>
  </si>
  <si>
    <t>T  F TRANSPORTES LTDA</t>
  </si>
  <si>
    <t>eltonegsantos@hotmail.com</t>
  </si>
  <si>
    <t>TGL TRANSPORTADORA GOIABA LTDA</t>
  </si>
  <si>
    <t>adrianomartinsdeoliveira855@gmail.com</t>
  </si>
  <si>
    <t>TININHO TRANSPORTES LTDA</t>
  </si>
  <si>
    <t>reginaldoferreira30@yahoo.com.br</t>
  </si>
  <si>
    <t>TML TRANSPORTES MARTINS E LAJES LTDA</t>
  </si>
  <si>
    <t>documentotml@gmail.com</t>
  </si>
  <si>
    <t>T.O.L. COMERCIO E TRANSPORTES LTDA</t>
  </si>
  <si>
    <t>toltransp411@gmail.com</t>
  </si>
  <si>
    <t>TRANSPORTADORA BRAYAN LTDA</t>
  </si>
  <si>
    <t>transportadorabrayan12@yahoo.com.br</t>
  </si>
  <si>
    <t>TRANSPORTADORA CAMPOS  REZENDE LTDA</t>
  </si>
  <si>
    <t>tcrtransporte@hotmail.com</t>
  </si>
  <si>
    <t>TRANSPORTADORA IRMAOS PINHEIRO LTDA</t>
  </si>
  <si>
    <t>iirmaospinheiro@gmail.com</t>
  </si>
  <si>
    <t>TRANSPORTADORA J  R OLIVEIRA LTDA</t>
  </si>
  <si>
    <t>vanessafoliveira032@gmail.com</t>
  </si>
  <si>
    <t>TRANSPORTADORA MONTEIRO LTDA</t>
  </si>
  <si>
    <t>josedu0023@gmail.com</t>
  </si>
  <si>
    <t>TRANSPORTADORA RGS LTDA</t>
  </si>
  <si>
    <t>rgstransportes@yahoo.com</t>
  </si>
  <si>
    <t>TRANSPORTADORA SEGANTINI LTDA</t>
  </si>
  <si>
    <t>edneiasegantini2015@gmail.com</t>
  </si>
  <si>
    <t>TRANSPORTE ALVES LTDA</t>
  </si>
  <si>
    <t>martinhoalves10@gmail.com</t>
  </si>
  <si>
    <t>TRANSPORTES DWI LTDA</t>
  </si>
  <si>
    <t>transportesdwi@gmail.com</t>
  </si>
  <si>
    <t>TRANSRAFINO TRASNPORTES LTDA</t>
  </si>
  <si>
    <t>Transrafino@gmail.com</t>
  </si>
  <si>
    <t>ULTRAN TRANSPORTES LTDA</t>
  </si>
  <si>
    <t>empresaultrantransporte@hotmail.com</t>
  </si>
  <si>
    <t>VIANA REBOQUE E TRANSPORTES LTDA</t>
  </si>
  <si>
    <t>VILAS TRANSPORTE E LOCACAO LTDA</t>
  </si>
  <si>
    <t>petroniovilas@gmail.com</t>
  </si>
  <si>
    <t>VILMAR GOMES DOS SANTOS</t>
  </si>
  <si>
    <t>vilmargomessantos300@gmail.com</t>
  </si>
  <si>
    <t>VITINHO TRANSPORTES LTDA</t>
  </si>
  <si>
    <t>vitinhotransportes.ferreira@gmail.com</t>
  </si>
  <si>
    <t>V  M TRANSPORTES DE CARGAS LTDA</t>
  </si>
  <si>
    <t>diretoria.sarzedoparafusos@gmail.com</t>
  </si>
  <si>
    <t>VR MAGALHAES TRANSPORTES LTDA</t>
  </si>
  <si>
    <t>vanessa.ferreira2604@gmail.com</t>
  </si>
  <si>
    <t>WNSSE TRANSPORTES DE CARGAS EM GERAL LTDA</t>
  </si>
  <si>
    <t>wnssetransportes@yahoo.com</t>
  </si>
  <si>
    <t>COELHO  MOURA LTDA</t>
  </si>
  <si>
    <t>MANUTENÇÃO DA PLANTA EM GERAL, COM SOLDADOR E MECÂNICO.</t>
  </si>
  <si>
    <t>000626</t>
  </si>
  <si>
    <t>Pequenas manutenções em áreas fabris</t>
  </si>
  <si>
    <t>contato@dinamizefinanceiro.com.br</t>
  </si>
  <si>
    <t>GAUSTEC INDUSTRIA E MANUTENCAO EM ELETROMAGNETICOS LTDA</t>
  </si>
  <si>
    <t xml:space="preserve">Manutenção de separadores Magnéticos </t>
  </si>
  <si>
    <t>segurancadotrabalho@gaustec.com.br</t>
  </si>
  <si>
    <t>HOSCH DO BRASIL LTDA</t>
  </si>
  <si>
    <t>Inspeção e manutenção em raspadores de correia transportadora</t>
  </si>
  <si>
    <t>seg1@hosch.com.br</t>
  </si>
  <si>
    <t>LINK INDUSTRIA E COMERCIO DE MAQUINAS PARA MINERACAO LTDA</t>
  </si>
  <si>
    <t>Prestação de serviços técnicos especializados</t>
  </si>
  <si>
    <t>seguranca4@linkltda.com.br</t>
  </si>
  <si>
    <t>Prestação de serviços técnicos especializados de inspeção, ajustes, instalação</t>
  </si>
  <si>
    <t>anselmo@linkltda.com.br</t>
  </si>
  <si>
    <t>MPA VULCANIZACAO LTDA</t>
  </si>
  <si>
    <t xml:space="preserve">Prestação de serviços na modalidade de execultados </t>
  </si>
  <si>
    <t>comercial@mpaservicos.com</t>
  </si>
  <si>
    <t>TRIMAK ENGENHARIA E COMERCIO S/A</t>
  </si>
  <si>
    <t xml:space="preserve">LOCAÇÃO DE PLATAFORMAS ELEVATORIAS							</t>
  </si>
  <si>
    <t>52.054.414 KILDER ALVES ARANTES</t>
  </si>
  <si>
    <t>Itaminas - Meio Ambiente</t>
  </si>
  <si>
    <t>kilderarantesvet@gmail.com</t>
  </si>
  <si>
    <t>ALFA IMPERIO SERVICOS AMBIENTAIS ESPECIALIZADOS LTDA</t>
  </si>
  <si>
    <t>CONTROLE DE PRAGAS,LIMPEZA E SANITIZAÇÃO CAIXA DÁGUA,ANALISE E POTABILIDADE DE AGUA E MANUTENÇÃO DE BEBEDOUROS</t>
  </si>
  <si>
    <t>alfaimperiosae@gmail.com</t>
  </si>
  <si>
    <t>AST ANALISES AMBIENTAIS</t>
  </si>
  <si>
    <t>ambiental@ast.net.br</t>
  </si>
  <si>
    <t>ECOAR MONITORAMENTO AMBIENTAL LTDA</t>
  </si>
  <si>
    <t>Serviços técnicos especializados consistentes na coleta, análise e emissão</t>
  </si>
  <si>
    <t>saude.ecoar@ecoarma.com.br</t>
  </si>
  <si>
    <t>EFICIENCIA GESTAO AMBIENTAL DE RESIDUOS LTDA</t>
  </si>
  <si>
    <t>vinicius@eficienciamg.com.br</t>
  </si>
  <si>
    <t>PROA RESIDUOS LTDA</t>
  </si>
  <si>
    <t>financeiro@proaresiduos.com.br</t>
  </si>
  <si>
    <t>COLETA DE RESIDUO NÂO PERIGOSOS</t>
  </si>
  <si>
    <t>REYNALDO JOSE FERREIRA BAROUCH  CIA LTDA</t>
  </si>
  <si>
    <t>reynaldo@rbtopografia.com.br</t>
  </si>
  <si>
    <t>TERRA CONSULTORIA E ANALISES AMBIENTAIS LTDA</t>
  </si>
  <si>
    <t>qualidade@terraanalises.com</t>
  </si>
  <si>
    <t>TERRA - GESTAO E DESENVOLVIMENTO ESTRATEGICO LTDA</t>
  </si>
  <si>
    <t>comercial@terraanalises.com</t>
  </si>
  <si>
    <t>AECI MINING PRODUTOS QUIMICOS LTDA</t>
  </si>
  <si>
    <t>FORNECIMENTO DE EXPLOSIVOS - UTILIZAÇÃO DE ÁREA PARA ARMAZENAMENTO E DISTRIBUIÇÃO DE EXPLOSIVOS</t>
  </si>
  <si>
    <t>carlos.goncalves@aeciworld.com</t>
  </si>
  <si>
    <t>DRILLGEO GEOLOGIA E SONDAGENS S/A</t>
  </si>
  <si>
    <t>Sondagem Rotativa Diamantada Testemunhada</t>
  </si>
  <si>
    <t>FAST2 MINE TECNOLOGIA E DESENVOLVIMENTO DE SISTEMAS LTDA</t>
  </si>
  <si>
    <t>Itaminas - Plan. de Lavra e Geo</t>
  </si>
  <si>
    <t>mobilizacao@fast2mine.com</t>
  </si>
  <si>
    <t>GE21 CONSULTORIA MINERAL LTDA</t>
  </si>
  <si>
    <t xml:space="preserve">Fiscalização, descrição,  amostragem e controle de QAQC de campanha de sondagem </t>
  </si>
  <si>
    <t>ednie.rafael@grupoge21.com</t>
  </si>
  <si>
    <t>KLEBER MENEZES REIS 57225613634</t>
  </si>
  <si>
    <t>Prestação de serviços de consultoria técnica  e serviços especializados  em processos de beneficiamento mineral em ambiente laboratorial</t>
  </si>
  <si>
    <t>Análises Clínicas</t>
  </si>
  <si>
    <t>klebaomr@gmail.com</t>
  </si>
  <si>
    <t>SHL PERFURACAO, DESMONTE DE ROCHA E CONSULTORIA LTDA</t>
  </si>
  <si>
    <t>PERFURAÇÃO E DESMONTE DE ROCHAS</t>
  </si>
  <si>
    <t>SHLPERFURACAO@GMAIL.COM</t>
  </si>
  <si>
    <t>BORRACHARIA SARZEDO LTDA</t>
  </si>
  <si>
    <t>Itaminas - Segurança do Trabalho</t>
  </si>
  <si>
    <t>pipicosarzedo16@gmail.com</t>
  </si>
  <si>
    <t>SISTEC SISTEMA TEC DE TELEC EQUIPAMENTOS E SERV LTDA</t>
  </si>
  <si>
    <t>Itaminas - TI</t>
  </si>
  <si>
    <t>sistectel@yahoo.com.br</t>
  </si>
  <si>
    <t>TWS TELECOM WORLD SYSTEMS LTDA</t>
  </si>
  <si>
    <t>jaime@twstelecom.com.br</t>
  </si>
  <si>
    <t>WALTER PAULO DE ANDRADE 03454769647</t>
  </si>
  <si>
    <t>Locação e manutenção de impressora realizada de acordo com a demanda</t>
  </si>
  <si>
    <t>Manutenção Facilities</t>
  </si>
  <si>
    <t>swcopysuprimentos@gmail.com</t>
  </si>
  <si>
    <t>WANCO TELECOMUNICACOES LTDA</t>
  </si>
  <si>
    <t>Locação de equipamentos de radiocomunicação e prestação de serviços de manutenção preventiva e corretiva e serviço de radiocomunicação</t>
  </si>
  <si>
    <t>flavia.castro@unicall.com.br</t>
  </si>
  <si>
    <t>MILLENIUM COMERCIO E LOCACAO DE CAMINHOES LTDA</t>
  </si>
  <si>
    <t>Aluguel de máquinas e equipamentos industriais</t>
  </si>
  <si>
    <t>milleniumcaminhoes@gmail.com</t>
  </si>
  <si>
    <t>TBA LOGISTICA LTDA</t>
  </si>
  <si>
    <t>Transportes Rodoviários</t>
  </si>
  <si>
    <t>adilson@tbalog.com.br</t>
  </si>
  <si>
    <t>ROCHA MINERACAO LTDA</t>
  </si>
  <si>
    <t>LOCAÇÃO DE PENEIRAS E BRITADOR COM OPERADOR</t>
  </si>
  <si>
    <t>joao.moreira@rochaemp.com.br</t>
  </si>
  <si>
    <t>Locação de Peneiras e Britador</t>
  </si>
  <si>
    <t>ABASTEK AUTOMACAO LTDA</t>
  </si>
  <si>
    <t>Instalação de equipamentos e implantação de sistema de automação SCA  para controle de abastecimento da frota da empresa.</t>
  </si>
  <si>
    <t>francis.oliveira@abastek.com</t>
  </si>
  <si>
    <t>IPIRANGA PRODUTOS DE PETROLEO S.A.</t>
  </si>
  <si>
    <t>Manutenção e reparação de equipamentos</t>
  </si>
  <si>
    <t>sintia.almeida@ipiranga.com.br</t>
  </si>
  <si>
    <t xml:space="preserve">PRESTAÇÃO DE SERVIÇOS DE SAÚDE OCUPACIONAL DE ACORDO COM A METODOLOGIA SESI, COM A MOBILIZAÇÃO DE 1 TÉCNICO DE ENFERMAGEM DO TRABALHO </t>
  </si>
  <si>
    <t>Serviços de saúde</t>
  </si>
  <si>
    <t>tecnico</t>
  </si>
  <si>
    <t>SERVICO SOCIAL DA INDUSTRIA, DEPARTAMENTO REGIONAL DE MINAS GERAIS (SESI / DRMG)</t>
  </si>
  <si>
    <t>Prestação de serviços de saúde ocupacional de acordo com a metodologia SESI, com a mobilização de técnico de enfermagem do trabalho.</t>
  </si>
  <si>
    <t>domoura@fiemg.com.br</t>
  </si>
  <si>
    <t>Saúde Ocupacional</t>
  </si>
  <si>
    <t>p.reis@fiemg.com.br</t>
  </si>
  <si>
    <t>Prestação de serviços de saúde ocupacional de acordo com a metodologia SESI, com a mobilização de técnico de enfermagem do trabalho</t>
  </si>
  <si>
    <t>ACE SERVICE LTDA</t>
  </si>
  <si>
    <t>Fabricação e montagem de estruturas metálicas para a planta ITM 09D</t>
  </si>
  <si>
    <t>Nome Fantasia</t>
  </si>
  <si>
    <t>Razão Social*</t>
  </si>
  <si>
    <t>CNPJ*</t>
  </si>
  <si>
    <t>Unidade*</t>
  </si>
  <si>
    <t>Endereço*</t>
  </si>
  <si>
    <t>Número*</t>
  </si>
  <si>
    <t>CEP*</t>
  </si>
  <si>
    <t>Cidade*</t>
  </si>
  <si>
    <t>Estado*</t>
  </si>
  <si>
    <t>Funcionário*</t>
  </si>
  <si>
    <t>CPF*</t>
  </si>
  <si>
    <t>E-mail*</t>
  </si>
  <si>
    <t>Terceiro*</t>
  </si>
  <si>
    <t>Serviço*</t>
  </si>
  <si>
    <t>Data de Início*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</si>
</sst>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\,\ hh:mm"/>
    <numFmt numFmtId="165" formatCode="d/m/yyyy"/>
    <numFmt numFmtId="166" formatCode="&quot; &quot;00&quot;.&quot;000&quot;.&quot;000&quot;/&quot;0000&quot;-&quot;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6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166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0C0F-864A-4122-AC52-2CAEC89CECC0}">
  <dimension ref="A1:J2"/>
  <sheetViews>
    <sheetView tabSelected="1" workbookViewId="0">
      <selection activeCell="J1" sqref="J1"/>
    </sheetView>
  </sheetViews>
  <sheetFormatPr defaultRowHeight="15" x14ac:dyDescent="0.25"/>
  <cols>
    <col min="1" max="1" width="31.7109375" style="9" bestFit="1" customWidth="1"/>
    <col min="2" max="2" width="14.42578125" style="9" bestFit="1" customWidth="1"/>
    <col min="3" max="3" width="17.85546875" style="9" bestFit="1" customWidth="1"/>
    <col min="4" max="4" width="33.28515625" style="9" bestFit="1" customWidth="1"/>
    <col min="5" max="5" width="14.140625" style="9" bestFit="1" customWidth="1"/>
    <col min="6" max="6" width="10.140625" style="9" bestFit="1" customWidth="1"/>
    <col min="7" max="7" width="8" style="9" bestFit="1" customWidth="1"/>
    <col min="8" max="8" width="12.5703125" style="9" bestFit="1" customWidth="1"/>
    <col min="9" max="9" width="6.140625" style="9" bestFit="1" customWidth="1"/>
    <col min="10" max="10" width="12.5703125" style="9" bestFit="1" customWidth="1"/>
  </cols>
  <sheetData>
    <row r="1" spans="1:10" x14ac:dyDescent="0.25">
      <c r="A1" s="7" t="s">
        <v>560</v>
      </c>
      <c r="B1" s="7" t="s">
        <v>559</v>
      </c>
      <c r="C1" s="7" t="s">
        <v>561</v>
      </c>
      <c r="D1" s="7" t="s">
        <v>0</v>
      </c>
      <c r="E1" s="7" t="s">
        <v>39</v>
      </c>
      <c r="F1" s="7" t="s">
        <v>1</v>
      </c>
      <c r="G1" s="7" t="s">
        <v>2</v>
      </c>
      <c r="H1" s="7" t="s">
        <v>3</v>
      </c>
      <c r="I1" s="7" t="s">
        <v>4</v>
      </c>
      <c r="J1" s="7" t="s">
        <v>5</v>
      </c>
    </row>
    <row r="2" spans="1:10" x14ac:dyDescent="0.25">
      <c r="A2" s="8" t="s">
        <v>7</v>
      </c>
      <c r="B2" s="8"/>
      <c r="C2" s="8" t="s">
        <v>8</v>
      </c>
      <c r="D2" s="8" t="s">
        <v>11</v>
      </c>
      <c r="E2" s="8"/>
      <c r="F2" s="8">
        <v>32450000</v>
      </c>
      <c r="G2" s="8" t="s">
        <v>12</v>
      </c>
      <c r="H2" s="8" t="s">
        <v>13</v>
      </c>
      <c r="I2" s="8" t="s">
        <v>38</v>
      </c>
      <c r="J2" s="8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pane ySplit="1" topLeftCell="A2" activePane="bottomLeft" state="frozen"/>
      <selection pane="bottomLeft" sqref="A1:H1048576"/>
    </sheetView>
  </sheetViews>
  <sheetFormatPr defaultRowHeight="15" x14ac:dyDescent="0.25"/>
  <cols>
    <col min="1" max="1" width="35.7109375" style="9" bestFit="1" customWidth="1"/>
    <col min="2" max="2" width="17.85546875" style="9" bestFit="1" customWidth="1"/>
    <col min="3" max="3" width="33.28515625" style="9" bestFit="1" customWidth="1"/>
    <col min="4" max="4" width="12.85546875" style="9" bestFit="1" customWidth="1"/>
    <col min="5" max="5" width="10.28515625" style="9" bestFit="1" customWidth="1"/>
    <col min="6" max="6" width="12" style="9" bestFit="1" customWidth="1"/>
    <col min="7" max="7" width="12.5703125" style="9" bestFit="1" customWidth="1"/>
    <col min="8" max="8" width="16.140625" style="9" bestFit="1" customWidth="1"/>
  </cols>
  <sheetData>
    <row r="1" spans="1:8" x14ac:dyDescent="0.25">
      <c r="A1" s="7" t="s">
        <v>562</v>
      </c>
      <c r="B1" s="7" t="s">
        <v>561</v>
      </c>
      <c r="C1" s="7" t="s">
        <v>563</v>
      </c>
      <c r="D1" s="7" t="s">
        <v>564</v>
      </c>
      <c r="E1" s="7" t="s">
        <v>565</v>
      </c>
      <c r="F1" s="7" t="s">
        <v>566</v>
      </c>
      <c r="G1" s="7" t="s">
        <v>567</v>
      </c>
      <c r="H1" s="7" t="s">
        <v>5</v>
      </c>
    </row>
    <row r="2" spans="1:8" x14ac:dyDescent="0.25">
      <c r="A2" s="8" t="s">
        <v>6</v>
      </c>
      <c r="B2" s="8" t="s">
        <v>8</v>
      </c>
      <c r="C2" s="8" t="s">
        <v>11</v>
      </c>
      <c r="D2" s="10">
        <v>0</v>
      </c>
      <c r="E2" s="8">
        <v>32450000</v>
      </c>
      <c r="F2" s="8" t="s">
        <v>12</v>
      </c>
      <c r="G2" s="8" t="s">
        <v>13</v>
      </c>
      <c r="H2" s="8" t="s">
        <v>9</v>
      </c>
    </row>
    <row r="3" spans="1:8" x14ac:dyDescent="0.25">
      <c r="A3" s="8" t="s">
        <v>10</v>
      </c>
      <c r="B3" s="8" t="s">
        <v>8</v>
      </c>
      <c r="C3" s="8" t="s">
        <v>11</v>
      </c>
      <c r="D3" s="10">
        <v>0</v>
      </c>
      <c r="E3" s="8">
        <v>32450000</v>
      </c>
      <c r="F3" s="8" t="s">
        <v>12</v>
      </c>
      <c r="G3" s="8" t="s">
        <v>13</v>
      </c>
      <c r="H3" s="8" t="s">
        <v>9</v>
      </c>
    </row>
    <row r="4" spans="1:8" x14ac:dyDescent="0.25">
      <c r="A4" s="8" t="s">
        <v>14</v>
      </c>
      <c r="B4" s="8" t="s">
        <v>8</v>
      </c>
      <c r="C4" s="8" t="s">
        <v>11</v>
      </c>
      <c r="D4" s="10">
        <v>0</v>
      </c>
      <c r="E4" s="8">
        <v>32450000</v>
      </c>
      <c r="F4" s="8" t="s">
        <v>12</v>
      </c>
      <c r="G4" s="8" t="s">
        <v>13</v>
      </c>
      <c r="H4" s="8" t="s">
        <v>9</v>
      </c>
    </row>
    <row r="5" spans="1:8" x14ac:dyDescent="0.25">
      <c r="A5" s="8" t="s">
        <v>15</v>
      </c>
      <c r="B5" s="8" t="s">
        <v>8</v>
      </c>
      <c r="C5" s="8" t="s">
        <v>11</v>
      </c>
      <c r="D5" s="10">
        <v>0</v>
      </c>
      <c r="E5" s="8" t="s">
        <v>37</v>
      </c>
      <c r="F5" s="8" t="s">
        <v>12</v>
      </c>
      <c r="G5" s="8" t="s">
        <v>13</v>
      </c>
      <c r="H5" s="8" t="s">
        <v>9</v>
      </c>
    </row>
    <row r="6" spans="1:8" x14ac:dyDescent="0.25">
      <c r="A6" s="8" t="s">
        <v>16</v>
      </c>
      <c r="B6" s="8" t="s">
        <v>8</v>
      </c>
      <c r="C6" s="8" t="s">
        <v>11</v>
      </c>
      <c r="D6" s="10">
        <v>0</v>
      </c>
      <c r="E6" s="8" t="s">
        <v>37</v>
      </c>
      <c r="F6" s="8" t="s">
        <v>12</v>
      </c>
      <c r="G6" s="8" t="s">
        <v>13</v>
      </c>
      <c r="H6" s="8" t="s">
        <v>9</v>
      </c>
    </row>
    <row r="7" spans="1:8" x14ac:dyDescent="0.25">
      <c r="A7" s="8" t="s">
        <v>17</v>
      </c>
      <c r="B7" s="8" t="s">
        <v>8</v>
      </c>
      <c r="C7" s="8" t="s">
        <v>11</v>
      </c>
      <c r="D7" s="10">
        <v>0</v>
      </c>
      <c r="E7" s="8" t="s">
        <v>37</v>
      </c>
      <c r="F7" s="8" t="s">
        <v>12</v>
      </c>
      <c r="G7" s="8" t="s">
        <v>13</v>
      </c>
      <c r="H7" s="8" t="s">
        <v>9</v>
      </c>
    </row>
    <row r="8" spans="1:8" x14ac:dyDescent="0.25">
      <c r="A8" s="8" t="s">
        <v>18</v>
      </c>
      <c r="B8" s="8" t="s">
        <v>8</v>
      </c>
      <c r="C8" s="8" t="s">
        <v>11</v>
      </c>
      <c r="D8" s="10">
        <v>0</v>
      </c>
      <c r="E8" s="8" t="s">
        <v>37</v>
      </c>
      <c r="F8" s="8" t="s">
        <v>12</v>
      </c>
      <c r="G8" s="8" t="s">
        <v>13</v>
      </c>
      <c r="H8" s="8" t="s">
        <v>9</v>
      </c>
    </row>
    <row r="9" spans="1:8" x14ac:dyDescent="0.25">
      <c r="A9" s="8" t="s">
        <v>19</v>
      </c>
      <c r="B9" s="8" t="s">
        <v>8</v>
      </c>
      <c r="C9" s="8" t="s">
        <v>11</v>
      </c>
      <c r="D9" s="10">
        <v>0</v>
      </c>
      <c r="E9" s="8" t="s">
        <v>37</v>
      </c>
      <c r="F9" s="8" t="s">
        <v>12</v>
      </c>
      <c r="G9" s="8" t="s">
        <v>13</v>
      </c>
      <c r="H9" s="8" t="s">
        <v>9</v>
      </c>
    </row>
    <row r="10" spans="1:8" x14ac:dyDescent="0.25">
      <c r="A10" s="8" t="s">
        <v>20</v>
      </c>
      <c r="B10" s="8" t="s">
        <v>8</v>
      </c>
      <c r="C10" s="8" t="s">
        <v>11</v>
      </c>
      <c r="D10" s="10">
        <v>0</v>
      </c>
      <c r="E10" s="8" t="s">
        <v>37</v>
      </c>
      <c r="F10" s="8" t="s">
        <v>12</v>
      </c>
      <c r="G10" s="8" t="s">
        <v>13</v>
      </c>
      <c r="H10" s="8" t="s">
        <v>9</v>
      </c>
    </row>
    <row r="11" spans="1:8" x14ac:dyDescent="0.25">
      <c r="A11" s="8" t="s">
        <v>21</v>
      </c>
      <c r="B11" s="8" t="s">
        <v>8</v>
      </c>
      <c r="C11" s="8" t="s">
        <v>11</v>
      </c>
      <c r="D11" s="10">
        <v>0</v>
      </c>
      <c r="E11" s="8" t="s">
        <v>37</v>
      </c>
      <c r="F11" s="8" t="s">
        <v>12</v>
      </c>
      <c r="G11" s="8" t="s">
        <v>13</v>
      </c>
      <c r="H11" s="8" t="s">
        <v>9</v>
      </c>
    </row>
    <row r="12" spans="1:8" x14ac:dyDescent="0.25">
      <c r="A12" s="8" t="s">
        <v>22</v>
      </c>
      <c r="B12" s="8" t="s">
        <v>8</v>
      </c>
      <c r="C12" s="8" t="s">
        <v>11</v>
      </c>
      <c r="D12" s="10">
        <v>0</v>
      </c>
      <c r="E12" s="8" t="s">
        <v>37</v>
      </c>
      <c r="F12" s="8" t="s">
        <v>12</v>
      </c>
      <c r="G12" s="8" t="s">
        <v>13</v>
      </c>
      <c r="H12" s="8" t="s">
        <v>9</v>
      </c>
    </row>
    <row r="13" spans="1:8" x14ac:dyDescent="0.25">
      <c r="A13" s="8" t="s">
        <v>23</v>
      </c>
      <c r="B13" s="8" t="s">
        <v>8</v>
      </c>
      <c r="C13" s="8" t="s">
        <v>11</v>
      </c>
      <c r="D13" s="10">
        <v>0</v>
      </c>
      <c r="E13" s="8" t="s">
        <v>37</v>
      </c>
      <c r="F13" s="8" t="s">
        <v>12</v>
      </c>
      <c r="G13" s="8" t="s">
        <v>13</v>
      </c>
      <c r="H13" s="8" t="s">
        <v>9</v>
      </c>
    </row>
    <row r="14" spans="1:8" x14ac:dyDescent="0.25">
      <c r="A14" s="8" t="s">
        <v>24</v>
      </c>
      <c r="B14" s="8" t="s">
        <v>8</v>
      </c>
      <c r="C14" s="8" t="s">
        <v>11</v>
      </c>
      <c r="D14" s="10">
        <v>0</v>
      </c>
      <c r="E14" s="8" t="s">
        <v>37</v>
      </c>
      <c r="F14" s="8" t="s">
        <v>12</v>
      </c>
      <c r="G14" s="8" t="s">
        <v>13</v>
      </c>
      <c r="H14" s="8" t="s">
        <v>9</v>
      </c>
    </row>
    <row r="15" spans="1:8" x14ac:dyDescent="0.25">
      <c r="A15" s="8" t="s">
        <v>25</v>
      </c>
      <c r="B15" s="8" t="s">
        <v>8</v>
      </c>
      <c r="C15" s="8" t="s">
        <v>11</v>
      </c>
      <c r="D15" s="10">
        <v>0</v>
      </c>
      <c r="E15" s="8" t="s">
        <v>37</v>
      </c>
      <c r="F15" s="8" t="s">
        <v>12</v>
      </c>
      <c r="G15" s="8" t="s">
        <v>13</v>
      </c>
      <c r="H15" s="8" t="s">
        <v>9</v>
      </c>
    </row>
    <row r="16" spans="1:8" x14ac:dyDescent="0.25">
      <c r="A16" s="8" t="s">
        <v>26</v>
      </c>
      <c r="B16" s="8" t="s">
        <v>8</v>
      </c>
      <c r="C16" s="8" t="s">
        <v>11</v>
      </c>
      <c r="D16" s="10">
        <v>0</v>
      </c>
      <c r="E16" s="8" t="s">
        <v>37</v>
      </c>
      <c r="F16" s="8" t="s">
        <v>12</v>
      </c>
      <c r="G16" s="8" t="s">
        <v>13</v>
      </c>
      <c r="H16" s="8" t="s">
        <v>9</v>
      </c>
    </row>
    <row r="17" spans="1:8" x14ac:dyDescent="0.25">
      <c r="A17" s="8" t="s">
        <v>27</v>
      </c>
      <c r="B17" s="8" t="s">
        <v>8</v>
      </c>
      <c r="C17" s="8" t="s">
        <v>11</v>
      </c>
      <c r="D17" s="10">
        <v>0</v>
      </c>
      <c r="E17" s="8" t="s">
        <v>37</v>
      </c>
      <c r="F17" s="8" t="s">
        <v>12</v>
      </c>
      <c r="G17" s="8" t="s">
        <v>13</v>
      </c>
      <c r="H17" s="8" t="s">
        <v>9</v>
      </c>
    </row>
    <row r="18" spans="1:8" x14ac:dyDescent="0.25">
      <c r="A18" s="8" t="s">
        <v>28</v>
      </c>
      <c r="B18" s="8" t="s">
        <v>8</v>
      </c>
      <c r="C18" s="8" t="s">
        <v>11</v>
      </c>
      <c r="D18" s="10">
        <v>0</v>
      </c>
      <c r="E18" s="8" t="s">
        <v>37</v>
      </c>
      <c r="F18" s="8" t="s">
        <v>12</v>
      </c>
      <c r="G18" s="8" t="s">
        <v>13</v>
      </c>
      <c r="H18" s="8" t="s">
        <v>9</v>
      </c>
    </row>
    <row r="19" spans="1:8" x14ac:dyDescent="0.25">
      <c r="A19" s="8" t="s">
        <v>29</v>
      </c>
      <c r="B19" s="8" t="s">
        <v>8</v>
      </c>
      <c r="C19" s="8" t="s">
        <v>11</v>
      </c>
      <c r="D19" s="10">
        <v>0</v>
      </c>
      <c r="E19" s="8" t="s">
        <v>37</v>
      </c>
      <c r="F19" s="8" t="s">
        <v>12</v>
      </c>
      <c r="G19" s="8" t="s">
        <v>13</v>
      </c>
      <c r="H19" s="8" t="s">
        <v>9</v>
      </c>
    </row>
    <row r="20" spans="1:8" x14ac:dyDescent="0.25">
      <c r="A20" s="8" t="s">
        <v>30</v>
      </c>
      <c r="B20" s="8" t="s">
        <v>8</v>
      </c>
      <c r="C20" s="8" t="s">
        <v>11</v>
      </c>
      <c r="D20" s="10">
        <v>0</v>
      </c>
      <c r="E20" s="8" t="s">
        <v>37</v>
      </c>
      <c r="F20" s="8" t="s">
        <v>12</v>
      </c>
      <c r="G20" s="8" t="s">
        <v>13</v>
      </c>
      <c r="H20" s="8" t="s">
        <v>9</v>
      </c>
    </row>
    <row r="21" spans="1:8" x14ac:dyDescent="0.25">
      <c r="A21" s="8" t="s">
        <v>31</v>
      </c>
      <c r="B21" s="8" t="s">
        <v>8</v>
      </c>
      <c r="C21" s="8" t="s">
        <v>11</v>
      </c>
      <c r="D21" s="10">
        <v>0</v>
      </c>
      <c r="E21" s="8" t="s">
        <v>37</v>
      </c>
      <c r="F21" s="8" t="s">
        <v>12</v>
      </c>
      <c r="G21" s="8" t="s">
        <v>13</v>
      </c>
      <c r="H21" s="8" t="s">
        <v>9</v>
      </c>
    </row>
    <row r="22" spans="1:8" x14ac:dyDescent="0.25">
      <c r="A22" s="8" t="s">
        <v>32</v>
      </c>
      <c r="B22" s="8" t="s">
        <v>8</v>
      </c>
      <c r="C22" s="8" t="s">
        <v>11</v>
      </c>
      <c r="D22" s="10">
        <v>0</v>
      </c>
      <c r="E22" s="8" t="s">
        <v>37</v>
      </c>
      <c r="F22" s="8" t="s">
        <v>12</v>
      </c>
      <c r="G22" s="8" t="s">
        <v>13</v>
      </c>
      <c r="H22" s="8" t="s">
        <v>9</v>
      </c>
    </row>
    <row r="23" spans="1:8" x14ac:dyDescent="0.25">
      <c r="A23" s="8" t="s">
        <v>33</v>
      </c>
      <c r="B23" s="8" t="s">
        <v>8</v>
      </c>
      <c r="C23" s="8" t="s">
        <v>11</v>
      </c>
      <c r="D23" s="10">
        <v>0</v>
      </c>
      <c r="E23" s="8" t="s">
        <v>37</v>
      </c>
      <c r="F23" s="8" t="s">
        <v>12</v>
      </c>
      <c r="G23" s="8" t="s">
        <v>13</v>
      </c>
      <c r="H23" s="8" t="s">
        <v>9</v>
      </c>
    </row>
  </sheetData>
  <autoFilter ref="A1:H1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02F2-A58A-4FC0-8D98-C910692E47ED}">
  <dimension ref="A1:K33"/>
  <sheetViews>
    <sheetView workbookViewId="0">
      <selection sqref="A1:D1048576"/>
    </sheetView>
  </sheetViews>
  <sheetFormatPr defaultRowHeight="15" x14ac:dyDescent="0.25"/>
  <cols>
    <col min="1" max="1" width="27.7109375" style="9" bestFit="1" customWidth="1"/>
    <col min="2" max="2" width="29.85546875" style="9" bestFit="1" customWidth="1"/>
    <col min="3" max="3" width="17.42578125" style="9" customWidth="1"/>
    <col min="4" max="4" width="32" style="9" bestFit="1" customWidth="1"/>
    <col min="10" max="10" width="32.85546875" bestFit="1" customWidth="1"/>
  </cols>
  <sheetData>
    <row r="1" spans="1:11" x14ac:dyDescent="0.25">
      <c r="A1" s="7" t="s">
        <v>562</v>
      </c>
      <c r="B1" s="7" t="s">
        <v>568</v>
      </c>
      <c r="C1" s="7" t="s">
        <v>569</v>
      </c>
      <c r="D1" s="7" t="s">
        <v>570</v>
      </c>
    </row>
    <row r="2" spans="1:11" x14ac:dyDescent="0.25">
      <c r="A2" s="8" t="s">
        <v>6</v>
      </c>
      <c r="B2" s="8" t="s">
        <v>40</v>
      </c>
      <c r="C2" s="8" t="s">
        <v>41</v>
      </c>
      <c r="D2" s="8" t="s">
        <v>42</v>
      </c>
    </row>
    <row r="3" spans="1:11" x14ac:dyDescent="0.25">
      <c r="A3" s="8" t="s">
        <v>6</v>
      </c>
      <c r="B3" s="8" t="s">
        <v>43</v>
      </c>
      <c r="C3" s="8" t="s">
        <v>41</v>
      </c>
      <c r="D3" s="8" t="s">
        <v>44</v>
      </c>
    </row>
    <row r="4" spans="1:11" x14ac:dyDescent="0.25">
      <c r="A4" s="8" t="s">
        <v>16</v>
      </c>
      <c r="B4" s="8" t="s">
        <v>45</v>
      </c>
      <c r="C4" s="8" t="s">
        <v>41</v>
      </c>
      <c r="D4" s="8" t="s">
        <v>46</v>
      </c>
    </row>
    <row r="5" spans="1:11" x14ac:dyDescent="0.25">
      <c r="A5" s="8" t="s">
        <v>6</v>
      </c>
      <c r="B5" s="8" t="s">
        <v>47</v>
      </c>
      <c r="C5" s="8" t="s">
        <v>41</v>
      </c>
      <c r="D5" s="8" t="s">
        <v>48</v>
      </c>
    </row>
    <row r="6" spans="1:11" x14ac:dyDescent="0.25">
      <c r="A6" s="8" t="s">
        <v>16</v>
      </c>
      <c r="B6" s="8" t="s">
        <v>49</v>
      </c>
      <c r="C6" s="8" t="s">
        <v>41</v>
      </c>
      <c r="D6" s="8" t="s">
        <v>50</v>
      </c>
      <c r="F6" t="str" cm="1">
        <f t="array" ref="F6:F33">_xlfn.UNIQUE(D2:D29)</f>
        <v>alexandre.oliveira@itaminas.com.br</v>
      </c>
      <c r="J6" t="str" cm="1">
        <f t="array" ref="J6:J18">_xlfn.UNIQUE(FORNECEDORES!I:I)</f>
        <v>Email Gestor</v>
      </c>
      <c r="K6" t="str">
        <f>IF(COUNTIF(F:F, J6) = 0, "Não encontrado", "Encontrado")</f>
        <v>Não encontrado</v>
      </c>
    </row>
    <row r="7" spans="1:11" x14ac:dyDescent="0.25">
      <c r="A7" s="8" t="s">
        <v>6</v>
      </c>
      <c r="B7" s="8" t="s">
        <v>51</v>
      </c>
      <c r="C7" s="8" t="s">
        <v>41</v>
      </c>
      <c r="D7" s="8" t="s">
        <v>52</v>
      </c>
      <c r="F7" t="str">
        <v>beatriz.oliveira@itaminas.com.br</v>
      </c>
      <c r="J7" t="str">
        <v>delano.noronha@itaminas.com.br</v>
      </c>
      <c r="K7" t="str">
        <f t="shared" ref="K7:K20" si="0">IF(COUNTIF(F:F, J7) = 0, "Não encontrado", "Encontrado")</f>
        <v>Encontrado</v>
      </c>
    </row>
    <row r="8" spans="1:11" x14ac:dyDescent="0.25">
      <c r="A8" s="8" t="s">
        <v>6</v>
      </c>
      <c r="B8" s="8" t="s">
        <v>53</v>
      </c>
      <c r="C8" s="8" t="s">
        <v>41</v>
      </c>
      <c r="D8" s="8" t="s">
        <v>54</v>
      </c>
      <c r="F8" t="str">
        <v>bruno.costa@itaminas.com.br</v>
      </c>
      <c r="J8" t="str">
        <v>itaminas@realizaassessoria.com.br</v>
      </c>
      <c r="K8" t="str">
        <f t="shared" si="0"/>
        <v>Não encontrado</v>
      </c>
    </row>
    <row r="9" spans="1:11" x14ac:dyDescent="0.25">
      <c r="A9" s="8" t="s">
        <v>33</v>
      </c>
      <c r="B9" s="8" t="s">
        <v>55</v>
      </c>
      <c r="C9" s="8" t="s">
        <v>41</v>
      </c>
      <c r="D9" s="8" t="s">
        <v>56</v>
      </c>
      <c r="F9" t="str">
        <v>daniel.santos@itaminas.com.br</v>
      </c>
      <c r="J9" t="str">
        <v>tiberio.lambert@itaminas.com.br</v>
      </c>
      <c r="K9" t="str">
        <f t="shared" si="0"/>
        <v>Encontrado</v>
      </c>
    </row>
    <row r="10" spans="1:11" x14ac:dyDescent="0.25">
      <c r="A10" s="8" t="s">
        <v>16</v>
      </c>
      <c r="B10" s="8" t="s">
        <v>57</v>
      </c>
      <c r="C10" s="8" t="s">
        <v>41</v>
      </c>
      <c r="D10" s="8" t="s">
        <v>58</v>
      </c>
      <c r="F10" t="str">
        <v>daniela@itaminas.com.br</v>
      </c>
      <c r="J10" t="str">
        <v>scharmack.vieira@itaminas.com.br</v>
      </c>
      <c r="K10" t="str">
        <f t="shared" si="0"/>
        <v>Encontrado</v>
      </c>
    </row>
    <row r="11" spans="1:11" x14ac:dyDescent="0.25">
      <c r="A11" s="8" t="s">
        <v>20</v>
      </c>
      <c r="B11" s="8" t="s">
        <v>59</v>
      </c>
      <c r="C11" s="8" t="s">
        <v>41</v>
      </c>
      <c r="D11" s="8" t="s">
        <v>60</v>
      </c>
      <c r="F11" t="str">
        <v>delano.noronha@itaminas.com.br</v>
      </c>
      <c r="J11" t="str">
        <v>philippi@itaminas.com.br</v>
      </c>
      <c r="K11" t="str">
        <f t="shared" si="0"/>
        <v>Encontrado</v>
      </c>
    </row>
    <row r="12" spans="1:11" x14ac:dyDescent="0.25">
      <c r="A12" s="8" t="s">
        <v>21</v>
      </c>
      <c r="B12" s="8" t="s">
        <v>61</v>
      </c>
      <c r="C12" s="8" t="s">
        <v>41</v>
      </c>
      <c r="D12" s="8" t="s">
        <v>62</v>
      </c>
      <c r="F12" t="str">
        <v>diogo.santos@itaminas.com.br</v>
      </c>
      <c r="J12" t="str">
        <v>henrique.faria@itaminas.com.br</v>
      </c>
      <c r="K12" t="str">
        <f t="shared" si="0"/>
        <v>Encontrado</v>
      </c>
    </row>
    <row r="13" spans="1:11" x14ac:dyDescent="0.25">
      <c r="A13" s="8" t="s">
        <v>6</v>
      </c>
      <c r="B13" s="8" t="s">
        <v>63</v>
      </c>
      <c r="C13" s="8" t="s">
        <v>41</v>
      </c>
      <c r="D13" s="8" t="s">
        <v>64</v>
      </c>
      <c r="F13" t="str">
        <v>teste@teste.com.br</v>
      </c>
      <c r="J13" t="str">
        <v>jonathan.henriques@itaminas.com.br</v>
      </c>
      <c r="K13" t="str">
        <f t="shared" si="0"/>
        <v>Encontrado</v>
      </c>
    </row>
    <row r="14" spans="1:11" x14ac:dyDescent="0.25">
      <c r="A14" s="8" t="s">
        <v>6</v>
      </c>
      <c r="B14" s="8" t="s">
        <v>65</v>
      </c>
      <c r="C14" s="8" t="s">
        <v>41</v>
      </c>
      <c r="D14" s="8" t="s">
        <v>66</v>
      </c>
      <c r="F14" t="str">
        <v>fernanda.oliveira@itaminas.com.br</v>
      </c>
      <c r="J14" t="str">
        <v>heverton.paula@itaminas.com.br</v>
      </c>
      <c r="K14" t="str">
        <f t="shared" si="0"/>
        <v>Encontrado</v>
      </c>
    </row>
    <row r="15" spans="1:11" x14ac:dyDescent="0.25">
      <c r="A15" s="8" t="s">
        <v>6</v>
      </c>
      <c r="B15" s="8" t="s">
        <v>67</v>
      </c>
      <c r="C15" s="8" t="s">
        <v>41</v>
      </c>
      <c r="D15" s="8" t="s">
        <v>68</v>
      </c>
      <c r="F15" t="str">
        <v>gedeon@itaminas.com.br</v>
      </c>
      <c r="J15" t="str">
        <v>nilo@itaminas.com.br</v>
      </c>
      <c r="K15" t="str">
        <f t="shared" si="0"/>
        <v>Encontrado</v>
      </c>
    </row>
    <row r="16" spans="1:11" x14ac:dyDescent="0.25">
      <c r="A16" s="8" t="s">
        <v>6</v>
      </c>
      <c r="B16" s="8" t="s">
        <v>69</v>
      </c>
      <c r="C16" s="8" t="s">
        <v>41</v>
      </c>
      <c r="D16" s="8" t="s">
        <v>70</v>
      </c>
      <c r="F16" t="str">
        <v>henrique.faria@itaminas.com.br</v>
      </c>
      <c r="J16" t="str">
        <v>joao.rezende@itaminas.com.br</v>
      </c>
      <c r="K16" t="str">
        <f t="shared" si="0"/>
        <v>Encontrado</v>
      </c>
    </row>
    <row r="17" spans="1:11" x14ac:dyDescent="0.25">
      <c r="A17" s="8" t="s">
        <v>15</v>
      </c>
      <c r="B17" s="8" t="s">
        <v>71</v>
      </c>
      <c r="C17" s="8" t="s">
        <v>41</v>
      </c>
      <c r="D17" s="8" t="s">
        <v>72</v>
      </c>
      <c r="F17" t="str">
        <v>heverton.paula@itaminas.com.br</v>
      </c>
      <c r="J17" t="str">
        <v>teste@teste.com.br</v>
      </c>
      <c r="K17" t="str">
        <f t="shared" si="0"/>
        <v>Encontrado</v>
      </c>
    </row>
    <row r="18" spans="1:11" x14ac:dyDescent="0.25">
      <c r="A18" s="8" t="s">
        <v>6</v>
      </c>
      <c r="B18" s="8" t="s">
        <v>73</v>
      </c>
      <c r="C18" s="8" t="s">
        <v>41</v>
      </c>
      <c r="D18" s="8" t="s">
        <v>74</v>
      </c>
      <c r="F18" t="str">
        <v>joao.rezende@itaminas.com.br</v>
      </c>
      <c r="J18">
        <v>0</v>
      </c>
      <c r="K18" t="str">
        <f t="shared" si="0"/>
        <v>Não encontrado</v>
      </c>
    </row>
    <row r="19" spans="1:11" x14ac:dyDescent="0.25">
      <c r="A19" s="8" t="s">
        <v>15</v>
      </c>
      <c r="B19" s="8" t="s">
        <v>75</v>
      </c>
      <c r="C19" s="8" t="s">
        <v>41</v>
      </c>
      <c r="D19" s="8" t="s">
        <v>76</v>
      </c>
      <c r="F19" t="str">
        <v>jonathan.henriques@itaminas.com.br</v>
      </c>
      <c r="K19" t="str">
        <f t="shared" si="0"/>
        <v>Não encontrado</v>
      </c>
    </row>
    <row r="20" spans="1:11" x14ac:dyDescent="0.25">
      <c r="A20" s="8" t="s">
        <v>6</v>
      </c>
      <c r="B20" s="8" t="s">
        <v>77</v>
      </c>
      <c r="C20" s="8" t="s">
        <v>41</v>
      </c>
      <c r="D20" s="8" t="s">
        <v>78</v>
      </c>
      <c r="F20" t="str">
        <v>jordana.cardoso@itaminas.com.br</v>
      </c>
      <c r="K20" t="str">
        <f t="shared" si="0"/>
        <v>Não encontrado</v>
      </c>
    </row>
    <row r="21" spans="1:11" x14ac:dyDescent="0.25">
      <c r="A21" s="8" t="s">
        <v>23</v>
      </c>
      <c r="B21" s="8" t="s">
        <v>79</v>
      </c>
      <c r="C21" s="8" t="s">
        <v>41</v>
      </c>
      <c r="D21" s="8" t="s">
        <v>80</v>
      </c>
      <c r="F21" t="str">
        <v>luana.oliveira@itaminas.com.br</v>
      </c>
    </row>
    <row r="22" spans="1:11" x14ac:dyDescent="0.25">
      <c r="A22" s="8" t="s">
        <v>6</v>
      </c>
      <c r="B22" s="8" t="s">
        <v>81</v>
      </c>
      <c r="C22" s="8" t="s">
        <v>41</v>
      </c>
      <c r="D22" s="8" t="s">
        <v>82</v>
      </c>
      <c r="F22" t="str">
        <v>luciano.freitas@itaminas.com.br</v>
      </c>
    </row>
    <row r="23" spans="1:11" x14ac:dyDescent="0.25">
      <c r="A23" s="8" t="s">
        <v>6</v>
      </c>
      <c r="B23" s="8" t="s">
        <v>83</v>
      </c>
      <c r="C23" s="8" t="s">
        <v>41</v>
      </c>
      <c r="D23" s="8" t="s">
        <v>84</v>
      </c>
      <c r="F23" t="str">
        <v>luciano.samuel@itaminas.com.br</v>
      </c>
    </row>
    <row r="24" spans="1:11" x14ac:dyDescent="0.25">
      <c r="A24" s="8" t="s">
        <v>6</v>
      </c>
      <c r="B24" s="8" t="s">
        <v>85</v>
      </c>
      <c r="C24" s="8" t="s">
        <v>41</v>
      </c>
      <c r="D24" s="8" t="s">
        <v>86</v>
      </c>
      <c r="F24" t="str">
        <v>nilo@itaminas.com.br</v>
      </c>
    </row>
    <row r="25" spans="1:11" x14ac:dyDescent="0.25">
      <c r="A25" s="8" t="s">
        <v>6</v>
      </c>
      <c r="B25" s="8" t="s">
        <v>87</v>
      </c>
      <c r="C25" s="8" t="s">
        <v>41</v>
      </c>
      <c r="D25" s="8" t="s">
        <v>88</v>
      </c>
      <c r="F25" t="str">
        <v>philippi@itaminas.com.br</v>
      </c>
    </row>
    <row r="26" spans="1:11" x14ac:dyDescent="0.25">
      <c r="A26" s="8" t="s">
        <v>6</v>
      </c>
      <c r="B26" s="8" t="s">
        <v>89</v>
      </c>
      <c r="C26" s="8" t="s">
        <v>41</v>
      </c>
      <c r="D26" s="8" t="s">
        <v>90</v>
      </c>
      <c r="F26" t="str">
        <v>rainnara.freitas@itaminas.com.br</v>
      </c>
    </row>
    <row r="27" spans="1:11" x14ac:dyDescent="0.25">
      <c r="A27" s="8" t="s">
        <v>16</v>
      </c>
      <c r="B27" s="8" t="s">
        <v>91</v>
      </c>
      <c r="C27" s="8" t="s">
        <v>41</v>
      </c>
      <c r="D27" s="8" t="s">
        <v>92</v>
      </c>
      <c r="F27" t="str">
        <v>rodrigo.lima@itaminas.com.br</v>
      </c>
    </row>
    <row r="28" spans="1:11" x14ac:dyDescent="0.25">
      <c r="A28" s="8" t="s">
        <v>6</v>
      </c>
      <c r="B28" s="8" t="s">
        <v>93</v>
      </c>
      <c r="C28" s="8" t="s">
        <v>41</v>
      </c>
      <c r="D28" s="8" t="s">
        <v>94</v>
      </c>
      <c r="F28" t="str">
        <v>rosilene.santos@itaminas.com.br</v>
      </c>
    </row>
    <row r="29" spans="1:11" x14ac:dyDescent="0.25">
      <c r="A29" s="8" t="s">
        <v>6</v>
      </c>
      <c r="B29" s="8" t="s">
        <v>95</v>
      </c>
      <c r="C29" s="8" t="s">
        <v>41</v>
      </c>
      <c r="D29" s="8" t="s">
        <v>96</v>
      </c>
      <c r="F29" t="str">
        <v>scharmack.vieira@itaminas.com.br</v>
      </c>
    </row>
    <row r="30" spans="1:11" x14ac:dyDescent="0.25">
      <c r="F30" t="str">
        <v>simone.drates@itaminas.com.br</v>
      </c>
    </row>
    <row r="31" spans="1:11" x14ac:dyDescent="0.25">
      <c r="F31" t="str">
        <v>tiberio.lambert@itaminas.com.br</v>
      </c>
    </row>
    <row r="32" spans="1:11" x14ac:dyDescent="0.25">
      <c r="F32" t="str">
        <v>victoria.ribeiro@itaminas.com.br</v>
      </c>
    </row>
    <row r="33" spans="6:6" x14ac:dyDescent="0.25">
      <c r="F33" t="str">
        <v>yuri.alves@itaminas.com.br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D9BC-0ACD-4268-91AD-2CEA7181E4B8}">
  <dimension ref="A1:Q190"/>
  <sheetViews>
    <sheetView workbookViewId="0">
      <selection activeCell="A25" sqref="A25:XFD26"/>
    </sheetView>
  </sheetViews>
  <sheetFormatPr defaultRowHeight="15" x14ac:dyDescent="0.25"/>
  <cols>
    <col min="1" max="1" width="32.28515625" bestFit="1" customWidth="1"/>
    <col min="2" max="2" width="65.28515625" customWidth="1"/>
    <col min="3" max="3" width="18" bestFit="1" customWidth="1"/>
    <col min="4" max="4" width="65.28515625" customWidth="1"/>
    <col min="5" max="5" width="19.5703125" bestFit="1" customWidth="1"/>
    <col min="6" max="6" width="16.28515625" customWidth="1"/>
    <col min="7" max="7" width="47.42578125" customWidth="1"/>
    <col min="8" max="8" width="33.7109375" customWidth="1"/>
    <col min="9" max="9" width="35.85546875" customWidth="1"/>
    <col min="10" max="10" width="18.140625" customWidth="1"/>
    <col min="11" max="11" width="16.28515625" bestFit="1" customWidth="1"/>
    <col min="12" max="12" width="21.5703125" customWidth="1"/>
    <col min="13" max="13" width="19" customWidth="1"/>
    <col min="14" max="14" width="14.42578125" customWidth="1"/>
    <col min="15" max="15" width="17" customWidth="1"/>
    <col min="16" max="16" width="20.28515625" customWidth="1"/>
    <col min="17" max="17" width="46.42578125" customWidth="1"/>
  </cols>
  <sheetData>
    <row r="1" spans="1:17" x14ac:dyDescent="0.25">
      <c r="A1" s="2" t="s">
        <v>562</v>
      </c>
      <c r="B1" s="2" t="s">
        <v>571</v>
      </c>
      <c r="C1" s="2" t="s">
        <v>561</v>
      </c>
      <c r="D1" s="2" t="s">
        <v>572</v>
      </c>
      <c r="E1" s="2" t="s">
        <v>97</v>
      </c>
      <c r="F1" s="2" t="s">
        <v>573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 spans="1:17" x14ac:dyDescent="0.25">
      <c r="A2" s="1" t="s">
        <v>6</v>
      </c>
      <c r="B2" s="1" t="s">
        <v>109</v>
      </c>
      <c r="C2" s="3">
        <v>21866617000164</v>
      </c>
      <c r="D2" s="1" t="s">
        <v>110</v>
      </c>
      <c r="E2" s="1"/>
      <c r="F2" s="4">
        <v>45643</v>
      </c>
      <c r="G2" s="1" t="s">
        <v>111</v>
      </c>
      <c r="H2" s="1" t="s">
        <v>51</v>
      </c>
      <c r="I2" s="1" t="s">
        <v>52</v>
      </c>
      <c r="J2" s="1" t="s">
        <v>112</v>
      </c>
      <c r="K2" s="1"/>
      <c r="L2" s="1" t="s">
        <v>113</v>
      </c>
      <c r="M2" s="1"/>
      <c r="N2" s="1"/>
      <c r="O2" s="1"/>
      <c r="P2" s="5">
        <v>45643.693252314813</v>
      </c>
      <c r="Q2" s="1" t="s">
        <v>114</v>
      </c>
    </row>
    <row r="3" spans="1:17" x14ac:dyDescent="0.25">
      <c r="A3" s="1" t="s">
        <v>6</v>
      </c>
      <c r="B3" s="1" t="s">
        <v>115</v>
      </c>
      <c r="C3" s="3">
        <v>14876275000106</v>
      </c>
      <c r="D3" s="1" t="s">
        <v>116</v>
      </c>
      <c r="E3" s="1"/>
      <c r="F3" s="4">
        <v>45854</v>
      </c>
      <c r="G3" s="1" t="s">
        <v>117</v>
      </c>
      <c r="H3" s="1" t="s">
        <v>118</v>
      </c>
      <c r="I3" s="1" t="s">
        <v>119</v>
      </c>
      <c r="J3" s="1" t="s">
        <v>120</v>
      </c>
      <c r="K3" s="1"/>
      <c r="L3" s="1" t="s">
        <v>113</v>
      </c>
      <c r="M3" s="1"/>
      <c r="N3" s="1"/>
      <c r="O3" s="1"/>
      <c r="P3" s="1"/>
      <c r="Q3" s="1"/>
    </row>
    <row r="4" spans="1:17" x14ac:dyDescent="0.25">
      <c r="A4" s="1" t="s">
        <v>10</v>
      </c>
      <c r="B4" s="1" t="s">
        <v>121</v>
      </c>
      <c r="C4" s="3">
        <v>5354082000196</v>
      </c>
      <c r="D4" s="1" t="s">
        <v>122</v>
      </c>
      <c r="E4" s="1"/>
      <c r="F4" s="4">
        <v>45645</v>
      </c>
      <c r="G4" s="1" t="s">
        <v>111</v>
      </c>
      <c r="H4" s="1" t="s">
        <v>51</v>
      </c>
      <c r="I4" s="1" t="s">
        <v>52</v>
      </c>
      <c r="J4" s="1" t="s">
        <v>112</v>
      </c>
      <c r="K4" s="1"/>
      <c r="L4" s="1" t="s">
        <v>113</v>
      </c>
      <c r="M4" s="1"/>
      <c r="N4" s="1"/>
      <c r="O4" s="1"/>
      <c r="P4" s="5">
        <v>45645.667303240742</v>
      </c>
      <c r="Q4" s="1" t="s">
        <v>123</v>
      </c>
    </row>
    <row r="5" spans="1:17" x14ac:dyDescent="0.25">
      <c r="A5" s="1" t="s">
        <v>10</v>
      </c>
      <c r="B5" s="1" t="s">
        <v>124</v>
      </c>
      <c r="C5" s="3">
        <v>726048000181</v>
      </c>
      <c r="D5" s="1" t="s">
        <v>122</v>
      </c>
      <c r="E5" s="1"/>
      <c r="F5" s="4">
        <v>45643</v>
      </c>
      <c r="G5" s="1" t="s">
        <v>111</v>
      </c>
      <c r="H5" s="1" t="s">
        <v>51</v>
      </c>
      <c r="I5" s="1" t="s">
        <v>52</v>
      </c>
      <c r="J5" s="1" t="s">
        <v>112</v>
      </c>
      <c r="K5" s="1"/>
      <c r="L5" s="1" t="s">
        <v>113</v>
      </c>
      <c r="M5" s="1"/>
      <c r="N5" s="1"/>
      <c r="O5" s="1"/>
      <c r="P5" s="5">
        <v>45653.348854166667</v>
      </c>
      <c r="Q5" s="1" t="s">
        <v>125</v>
      </c>
    </row>
    <row r="6" spans="1:17" x14ac:dyDescent="0.25">
      <c r="A6" s="1" t="s">
        <v>10</v>
      </c>
      <c r="B6" s="1" t="s">
        <v>126</v>
      </c>
      <c r="C6" s="3">
        <v>15001448000105</v>
      </c>
      <c r="D6" s="1" t="s">
        <v>122</v>
      </c>
      <c r="E6" s="1"/>
      <c r="F6" s="4">
        <v>45644</v>
      </c>
      <c r="G6" s="1" t="s">
        <v>111</v>
      </c>
      <c r="H6" s="1" t="s">
        <v>51</v>
      </c>
      <c r="I6" s="1" t="s">
        <v>52</v>
      </c>
      <c r="J6" s="1" t="s">
        <v>112</v>
      </c>
      <c r="K6" s="1"/>
      <c r="L6" s="1" t="s">
        <v>113</v>
      </c>
      <c r="M6" s="1"/>
      <c r="N6" s="1"/>
      <c r="O6" s="1"/>
      <c r="P6" s="5">
        <v>45644.518217592595</v>
      </c>
      <c r="Q6" s="1" t="s">
        <v>127</v>
      </c>
    </row>
    <row r="7" spans="1:17" x14ac:dyDescent="0.25">
      <c r="A7" s="1" t="s">
        <v>10</v>
      </c>
      <c r="B7" s="1" t="s">
        <v>128</v>
      </c>
      <c r="C7" s="3">
        <v>26122684000198</v>
      </c>
      <c r="D7" s="1" t="s">
        <v>122</v>
      </c>
      <c r="E7" s="1"/>
      <c r="F7" s="4">
        <v>45643</v>
      </c>
      <c r="G7" s="1" t="s">
        <v>111</v>
      </c>
      <c r="H7" s="1" t="s">
        <v>51</v>
      </c>
      <c r="I7" s="1" t="s">
        <v>52</v>
      </c>
      <c r="J7" s="1" t="s">
        <v>112</v>
      </c>
      <c r="K7" s="1"/>
      <c r="L7" s="1" t="s">
        <v>113</v>
      </c>
      <c r="M7" s="1"/>
      <c r="N7" s="1"/>
      <c r="O7" s="1"/>
      <c r="P7" s="5">
        <v>45645.659050925926</v>
      </c>
      <c r="Q7" s="1" t="s">
        <v>129</v>
      </c>
    </row>
    <row r="8" spans="1:17" x14ac:dyDescent="0.25">
      <c r="A8" s="1" t="s">
        <v>14</v>
      </c>
      <c r="B8" s="1" t="s">
        <v>130</v>
      </c>
      <c r="C8" s="3">
        <v>1195269000214</v>
      </c>
      <c r="D8" s="1" t="s">
        <v>131</v>
      </c>
      <c r="E8" s="1"/>
      <c r="F8" s="4">
        <v>45716</v>
      </c>
      <c r="G8" s="1" t="s">
        <v>132</v>
      </c>
      <c r="H8" s="1" t="s">
        <v>118</v>
      </c>
      <c r="I8" s="1" t="s">
        <v>119</v>
      </c>
      <c r="J8" s="1" t="s">
        <v>133</v>
      </c>
      <c r="K8" s="4">
        <v>45848</v>
      </c>
      <c r="L8" s="1" t="s">
        <v>113</v>
      </c>
      <c r="M8" s="1" t="s">
        <v>134</v>
      </c>
      <c r="N8" s="1"/>
      <c r="O8" s="1"/>
      <c r="P8" s="5">
        <v>45716.507962962962</v>
      </c>
      <c r="Q8" s="1" t="s">
        <v>135</v>
      </c>
    </row>
    <row r="9" spans="1:17" x14ac:dyDescent="0.25">
      <c r="A9" s="1" t="s">
        <v>15</v>
      </c>
      <c r="B9" s="1" t="s">
        <v>136</v>
      </c>
      <c r="C9" s="3">
        <v>40020225000124</v>
      </c>
      <c r="D9" s="1" t="s">
        <v>137</v>
      </c>
      <c r="E9" s="1" t="s">
        <v>138</v>
      </c>
      <c r="F9" s="4">
        <v>45455</v>
      </c>
      <c r="G9" s="1" t="s">
        <v>139</v>
      </c>
      <c r="H9" s="1" t="s">
        <v>118</v>
      </c>
      <c r="I9" s="1" t="s">
        <v>119</v>
      </c>
      <c r="J9" s="1" t="s">
        <v>133</v>
      </c>
      <c r="K9" s="4">
        <v>45805</v>
      </c>
      <c r="L9" s="1" t="s">
        <v>113</v>
      </c>
      <c r="M9" s="1" t="s">
        <v>134</v>
      </c>
      <c r="N9" s="1"/>
      <c r="O9" s="1"/>
      <c r="P9" s="5">
        <v>45455.491585648146</v>
      </c>
      <c r="Q9" s="1" t="s">
        <v>140</v>
      </c>
    </row>
    <row r="10" spans="1:17" x14ac:dyDescent="0.25">
      <c r="A10" s="1" t="s">
        <v>15</v>
      </c>
      <c r="B10" s="1" t="s">
        <v>141</v>
      </c>
      <c r="C10" s="3">
        <v>7274495000196</v>
      </c>
      <c r="D10" s="1" t="s">
        <v>142</v>
      </c>
      <c r="E10" s="1" t="s">
        <v>143</v>
      </c>
      <c r="F10" s="4">
        <v>45455</v>
      </c>
      <c r="G10" s="1" t="s">
        <v>139</v>
      </c>
      <c r="H10" s="1" t="s">
        <v>118</v>
      </c>
      <c r="I10" s="1" t="s">
        <v>119</v>
      </c>
      <c r="J10" s="1" t="s">
        <v>112</v>
      </c>
      <c r="K10" s="1"/>
      <c r="L10" s="1" t="s">
        <v>113</v>
      </c>
      <c r="M10" s="1"/>
      <c r="N10" s="1"/>
      <c r="O10" s="1"/>
      <c r="P10" s="5">
        <v>45455.492523148147</v>
      </c>
      <c r="Q10" s="1" t="s">
        <v>144</v>
      </c>
    </row>
    <row r="11" spans="1:17" x14ac:dyDescent="0.25">
      <c r="A11" s="1" t="s">
        <v>15</v>
      </c>
      <c r="B11" s="1" t="s">
        <v>145</v>
      </c>
      <c r="C11" s="3">
        <v>40875732000140</v>
      </c>
      <c r="D11" s="1" t="s">
        <v>146</v>
      </c>
      <c r="E11" s="1"/>
      <c r="F11" s="4">
        <v>45455</v>
      </c>
      <c r="G11" s="1" t="s">
        <v>147</v>
      </c>
      <c r="H11" s="1" t="s">
        <v>118</v>
      </c>
      <c r="I11" s="1" t="s">
        <v>119</v>
      </c>
      <c r="J11" s="1" t="s">
        <v>112</v>
      </c>
      <c r="K11" s="1"/>
      <c r="L11" s="1" t="s">
        <v>113</v>
      </c>
      <c r="M11" s="1"/>
      <c r="N11" s="1"/>
      <c r="O11" s="1"/>
      <c r="P11" s="5">
        <v>45460.590937499997</v>
      </c>
      <c r="Q11" s="1" t="s">
        <v>148</v>
      </c>
    </row>
    <row r="12" spans="1:17" x14ac:dyDescent="0.25">
      <c r="A12" s="1" t="s">
        <v>15</v>
      </c>
      <c r="B12" s="1" t="s">
        <v>149</v>
      </c>
      <c r="C12" s="3">
        <v>46191316000109</v>
      </c>
      <c r="D12" s="1" t="s">
        <v>146</v>
      </c>
      <c r="E12" s="1"/>
      <c r="F12" s="4">
        <v>45455</v>
      </c>
      <c r="G12" s="1" t="s">
        <v>147</v>
      </c>
      <c r="H12" s="1" t="s">
        <v>118</v>
      </c>
      <c r="I12" s="1" t="s">
        <v>119</v>
      </c>
      <c r="J12" s="1" t="s">
        <v>112</v>
      </c>
      <c r="K12" s="1"/>
      <c r="L12" s="1" t="s">
        <v>113</v>
      </c>
      <c r="M12" s="1"/>
      <c r="N12" s="1"/>
      <c r="O12" s="1"/>
      <c r="P12" s="5">
        <v>45461.612025462964</v>
      </c>
      <c r="Q12" s="1" t="s">
        <v>150</v>
      </c>
    </row>
    <row r="13" spans="1:17" x14ac:dyDescent="0.25">
      <c r="A13" s="1" t="s">
        <v>15</v>
      </c>
      <c r="B13" s="1" t="s">
        <v>151</v>
      </c>
      <c r="C13" s="3">
        <v>1934441000123</v>
      </c>
      <c r="D13" s="1" t="s">
        <v>152</v>
      </c>
      <c r="E13" s="1" t="s">
        <v>153</v>
      </c>
      <c r="F13" s="4">
        <v>45455</v>
      </c>
      <c r="G13" s="1" t="s">
        <v>154</v>
      </c>
      <c r="H13" s="1" t="s">
        <v>118</v>
      </c>
      <c r="I13" s="1" t="s">
        <v>119</v>
      </c>
      <c r="J13" s="1" t="s">
        <v>133</v>
      </c>
      <c r="K13" s="4">
        <v>45713</v>
      </c>
      <c r="L13" s="1" t="s">
        <v>113</v>
      </c>
      <c r="M13" s="1" t="s">
        <v>155</v>
      </c>
      <c r="N13" s="1"/>
      <c r="O13" s="1"/>
      <c r="P13" s="5">
        <v>45456.651400462964</v>
      </c>
      <c r="Q13" s="1" t="s">
        <v>156</v>
      </c>
    </row>
    <row r="14" spans="1:17" x14ac:dyDescent="0.25">
      <c r="A14" s="1" t="s">
        <v>16</v>
      </c>
      <c r="B14" s="1" t="s">
        <v>157</v>
      </c>
      <c r="C14" s="3">
        <v>45506898000102</v>
      </c>
      <c r="D14" s="1" t="s">
        <v>158</v>
      </c>
      <c r="E14" s="1" t="s">
        <v>159</v>
      </c>
      <c r="F14" s="4">
        <v>45455</v>
      </c>
      <c r="G14" s="1" t="s">
        <v>160</v>
      </c>
      <c r="H14" s="1" t="s">
        <v>118</v>
      </c>
      <c r="I14" s="1" t="s">
        <v>119</v>
      </c>
      <c r="J14" s="1" t="s">
        <v>133</v>
      </c>
      <c r="K14" s="4">
        <v>45776</v>
      </c>
      <c r="L14" s="1" t="s">
        <v>113</v>
      </c>
      <c r="M14" s="1" t="s">
        <v>161</v>
      </c>
      <c r="N14" s="1"/>
      <c r="O14" s="1"/>
      <c r="P14" s="5">
        <v>45455.498749999999</v>
      </c>
      <c r="Q14" s="1" t="s">
        <v>162</v>
      </c>
    </row>
    <row r="15" spans="1:17" x14ac:dyDescent="0.25">
      <c r="A15" s="1" t="s">
        <v>16</v>
      </c>
      <c r="B15" s="1" t="s">
        <v>163</v>
      </c>
      <c r="C15" s="3">
        <v>58319589000256</v>
      </c>
      <c r="D15" s="1" t="s">
        <v>164</v>
      </c>
      <c r="E15" s="1"/>
      <c r="F15" s="4">
        <v>45859</v>
      </c>
      <c r="G15" s="1" t="s">
        <v>165</v>
      </c>
      <c r="H15" s="1" t="s">
        <v>91</v>
      </c>
      <c r="I15" s="1" t="s">
        <v>92</v>
      </c>
      <c r="J15" s="1" t="s">
        <v>112</v>
      </c>
      <c r="K15" s="1"/>
      <c r="L15" s="1" t="s">
        <v>113</v>
      </c>
      <c r="M15" s="1"/>
      <c r="N15" s="1"/>
      <c r="O15" s="1"/>
      <c r="P15" s="5">
        <v>45859.66306712963</v>
      </c>
      <c r="Q15" s="1" t="s">
        <v>166</v>
      </c>
    </row>
    <row r="16" spans="1:17" x14ac:dyDescent="0.25">
      <c r="A16" s="1" t="s">
        <v>16</v>
      </c>
      <c r="B16" s="1" t="s">
        <v>167</v>
      </c>
      <c r="C16" s="3">
        <v>780616000122</v>
      </c>
      <c r="D16" s="1" t="s">
        <v>168</v>
      </c>
      <c r="E16" s="1"/>
      <c r="F16" s="4">
        <v>45701</v>
      </c>
      <c r="G16" s="1" t="s">
        <v>111</v>
      </c>
      <c r="H16" s="1" t="s">
        <v>169</v>
      </c>
      <c r="I16" s="1" t="s">
        <v>92</v>
      </c>
      <c r="J16" s="1" t="s">
        <v>120</v>
      </c>
      <c r="K16" s="1"/>
      <c r="L16" s="1" t="s">
        <v>113</v>
      </c>
      <c r="M16" s="1"/>
      <c r="N16" s="1"/>
      <c r="O16" s="1"/>
      <c r="P16" s="1"/>
      <c r="Q16" s="1"/>
    </row>
    <row r="17" spans="1:17" x14ac:dyDescent="0.25">
      <c r="A17" s="1" t="s">
        <v>16</v>
      </c>
      <c r="B17" s="1" t="s">
        <v>170</v>
      </c>
      <c r="C17" s="3">
        <v>4878852000137</v>
      </c>
      <c r="D17" s="1" t="s">
        <v>171</v>
      </c>
      <c r="E17" s="1" t="s">
        <v>172</v>
      </c>
      <c r="F17" s="4">
        <v>45455</v>
      </c>
      <c r="G17" s="1" t="s">
        <v>173</v>
      </c>
      <c r="H17" s="1" t="s">
        <v>118</v>
      </c>
      <c r="I17" s="1" t="s">
        <v>119</v>
      </c>
      <c r="J17" s="1" t="s">
        <v>120</v>
      </c>
      <c r="K17" s="1"/>
      <c r="L17" s="1" t="s">
        <v>113</v>
      </c>
      <c r="M17" s="1"/>
      <c r="N17" s="1"/>
      <c r="O17" s="1"/>
      <c r="P17" s="1"/>
      <c r="Q17" s="1"/>
    </row>
    <row r="18" spans="1:17" x14ac:dyDescent="0.25">
      <c r="A18" s="1" t="s">
        <v>16</v>
      </c>
      <c r="B18" s="1" t="s">
        <v>174</v>
      </c>
      <c r="C18" s="3">
        <v>6942793000144</v>
      </c>
      <c r="D18" s="1" t="s">
        <v>175</v>
      </c>
      <c r="E18" s="1"/>
      <c r="F18" s="4">
        <v>45643</v>
      </c>
      <c r="G18" s="1" t="s">
        <v>111</v>
      </c>
      <c r="H18" s="1" t="s">
        <v>169</v>
      </c>
      <c r="I18" s="1" t="s">
        <v>92</v>
      </c>
      <c r="J18" s="1" t="s">
        <v>112</v>
      </c>
      <c r="K18" s="1"/>
      <c r="L18" s="1" t="s">
        <v>113</v>
      </c>
      <c r="M18" s="1"/>
      <c r="N18" s="1"/>
      <c r="O18" s="1"/>
      <c r="P18" s="5">
        <v>45645.665416666663</v>
      </c>
      <c r="Q18" s="1" t="s">
        <v>176</v>
      </c>
    </row>
    <row r="19" spans="1:17" x14ac:dyDescent="0.25">
      <c r="A19" s="1" t="s">
        <v>16</v>
      </c>
      <c r="B19" s="1" t="s">
        <v>177</v>
      </c>
      <c r="C19" s="3">
        <v>10890376000172</v>
      </c>
      <c r="D19" s="1" t="s">
        <v>178</v>
      </c>
      <c r="E19" s="1" t="s">
        <v>179</v>
      </c>
      <c r="F19" s="4">
        <v>45455</v>
      </c>
      <c r="G19" s="1" t="s">
        <v>160</v>
      </c>
      <c r="H19" s="1" t="s">
        <v>118</v>
      </c>
      <c r="I19" s="1" t="s">
        <v>119</v>
      </c>
      <c r="J19" s="1" t="s">
        <v>112</v>
      </c>
      <c r="K19" s="1"/>
      <c r="L19" s="1" t="s">
        <v>113</v>
      </c>
      <c r="M19" s="1"/>
      <c r="N19" s="1"/>
      <c r="O19" s="1"/>
      <c r="P19" s="5">
        <v>45455.50209490741</v>
      </c>
      <c r="Q19" s="1" t="s">
        <v>180</v>
      </c>
    </row>
    <row r="20" spans="1:17" x14ac:dyDescent="0.25">
      <c r="A20" s="1" t="s">
        <v>16</v>
      </c>
      <c r="B20" s="1" t="s">
        <v>181</v>
      </c>
      <c r="C20" s="3">
        <v>2190680000189</v>
      </c>
      <c r="D20" s="1" t="s">
        <v>182</v>
      </c>
      <c r="E20" s="1"/>
      <c r="F20" s="4">
        <v>45744</v>
      </c>
      <c r="G20" s="1" t="s">
        <v>165</v>
      </c>
      <c r="H20" s="1" t="s">
        <v>87</v>
      </c>
      <c r="I20" s="1" t="s">
        <v>88</v>
      </c>
      <c r="J20" s="1" t="s">
        <v>112</v>
      </c>
      <c r="K20" s="1"/>
      <c r="L20" s="1" t="s">
        <v>113</v>
      </c>
      <c r="M20" s="1"/>
      <c r="N20" s="1"/>
      <c r="O20" s="1"/>
      <c r="P20" s="5">
        <v>45747.690937500003</v>
      </c>
      <c r="Q20" s="1" t="s">
        <v>183</v>
      </c>
    </row>
    <row r="21" spans="1:17" x14ac:dyDescent="0.25">
      <c r="A21" s="1" t="s">
        <v>16</v>
      </c>
      <c r="B21" s="1" t="s">
        <v>184</v>
      </c>
      <c r="C21" s="3">
        <v>26385568000161</v>
      </c>
      <c r="D21" s="1" t="s">
        <v>185</v>
      </c>
      <c r="E21" s="1" t="s">
        <v>186</v>
      </c>
      <c r="F21" s="4">
        <v>45455</v>
      </c>
      <c r="G21" s="1" t="s">
        <v>160</v>
      </c>
      <c r="H21" s="1" t="s">
        <v>118</v>
      </c>
      <c r="I21" s="1" t="s">
        <v>119</v>
      </c>
      <c r="J21" s="1" t="s">
        <v>112</v>
      </c>
      <c r="K21" s="1"/>
      <c r="L21" s="1" t="s">
        <v>113</v>
      </c>
      <c r="M21" s="1"/>
      <c r="N21" s="1"/>
      <c r="O21" s="1"/>
      <c r="P21" s="5">
        <v>45455.503136574072</v>
      </c>
      <c r="Q21" s="1" t="s">
        <v>187</v>
      </c>
    </row>
    <row r="22" spans="1:17" x14ac:dyDescent="0.25">
      <c r="A22" s="1" t="s">
        <v>16</v>
      </c>
      <c r="B22" s="1" t="s">
        <v>188</v>
      </c>
      <c r="C22" s="3">
        <v>42515149000153</v>
      </c>
      <c r="D22" s="1" t="s">
        <v>189</v>
      </c>
      <c r="E22" s="1" t="s">
        <v>190</v>
      </c>
      <c r="F22" s="4">
        <v>45456</v>
      </c>
      <c r="G22" s="1" t="s">
        <v>139</v>
      </c>
      <c r="H22" s="1" t="s">
        <v>118</v>
      </c>
      <c r="I22" s="1" t="s">
        <v>119</v>
      </c>
      <c r="J22" s="1" t="s">
        <v>112</v>
      </c>
      <c r="K22" s="1"/>
      <c r="L22" s="1" t="s">
        <v>113</v>
      </c>
      <c r="M22" s="1"/>
      <c r="N22" s="1"/>
      <c r="O22" s="1"/>
      <c r="P22" s="5">
        <v>45456.491851851853</v>
      </c>
      <c r="Q22" s="1" t="s">
        <v>191</v>
      </c>
    </row>
    <row r="23" spans="1:17" x14ac:dyDescent="0.25">
      <c r="A23" s="1" t="s">
        <v>16</v>
      </c>
      <c r="B23" s="1" t="s">
        <v>192</v>
      </c>
      <c r="C23" s="3">
        <v>40461197000180</v>
      </c>
      <c r="D23" s="1" t="s">
        <v>193</v>
      </c>
      <c r="E23" s="1" t="s">
        <v>194</v>
      </c>
      <c r="F23" s="4">
        <v>45455</v>
      </c>
      <c r="G23" s="1" t="s">
        <v>160</v>
      </c>
      <c r="H23" s="1" t="s">
        <v>169</v>
      </c>
      <c r="I23" s="1" t="s">
        <v>92</v>
      </c>
      <c r="J23" s="1" t="s">
        <v>112</v>
      </c>
      <c r="K23" s="1"/>
      <c r="L23" s="1" t="s">
        <v>113</v>
      </c>
      <c r="M23" s="1"/>
      <c r="N23" s="1"/>
      <c r="O23" s="1"/>
      <c r="P23" s="5">
        <v>45455.504386574074</v>
      </c>
      <c r="Q23" s="1" t="s">
        <v>195</v>
      </c>
    </row>
    <row r="24" spans="1:17" x14ac:dyDescent="0.25">
      <c r="A24" s="1" t="s">
        <v>16</v>
      </c>
      <c r="B24" s="1" t="s">
        <v>196</v>
      </c>
      <c r="C24" s="3">
        <v>13278976000172</v>
      </c>
      <c r="D24" s="1" t="s">
        <v>197</v>
      </c>
      <c r="E24" s="1"/>
      <c r="F24" s="4">
        <v>45750</v>
      </c>
      <c r="G24" s="1" t="s">
        <v>198</v>
      </c>
      <c r="H24" s="1" t="s">
        <v>169</v>
      </c>
      <c r="I24" s="1" t="s">
        <v>92</v>
      </c>
      <c r="J24" s="1" t="s">
        <v>112</v>
      </c>
      <c r="K24" s="1"/>
      <c r="L24" s="1" t="s">
        <v>113</v>
      </c>
      <c r="M24" s="1"/>
      <c r="N24" s="1"/>
      <c r="O24" s="1"/>
      <c r="P24" s="5">
        <v>45750.652569444443</v>
      </c>
      <c r="Q24" s="1" t="s">
        <v>199</v>
      </c>
    </row>
    <row r="25" spans="1:17" x14ac:dyDescent="0.25">
      <c r="A25" s="1" t="s">
        <v>16</v>
      </c>
      <c r="B25" s="1" t="s">
        <v>200</v>
      </c>
      <c r="C25" s="3">
        <v>7257635000118</v>
      </c>
      <c r="D25" s="1" t="s">
        <v>201</v>
      </c>
      <c r="E25" s="1" t="s">
        <v>194</v>
      </c>
      <c r="F25" s="4">
        <v>45455</v>
      </c>
      <c r="G25" s="1" t="s">
        <v>160</v>
      </c>
      <c r="H25" s="1" t="s">
        <v>169</v>
      </c>
      <c r="I25" s="1" t="s">
        <v>92</v>
      </c>
      <c r="J25" s="1" t="s">
        <v>133</v>
      </c>
      <c r="K25" s="4">
        <v>45678</v>
      </c>
      <c r="L25" s="1" t="s">
        <v>113</v>
      </c>
      <c r="M25" s="1" t="s">
        <v>118</v>
      </c>
      <c r="N25" s="1"/>
      <c r="O25" s="1"/>
      <c r="P25" s="1"/>
      <c r="Q25" s="1"/>
    </row>
    <row r="26" spans="1:17" x14ac:dyDescent="0.25">
      <c r="A26" s="1" t="s">
        <v>16</v>
      </c>
      <c r="B26" s="1" t="s">
        <v>200</v>
      </c>
      <c r="C26" s="3">
        <v>7257635000118</v>
      </c>
      <c r="D26" s="1" t="s">
        <v>202</v>
      </c>
      <c r="E26" s="1"/>
      <c r="F26" s="4">
        <v>45770</v>
      </c>
      <c r="G26" s="1" t="s">
        <v>111</v>
      </c>
      <c r="H26" s="1" t="s">
        <v>169</v>
      </c>
      <c r="I26" s="1" t="s">
        <v>92</v>
      </c>
      <c r="J26" s="1" t="s">
        <v>120</v>
      </c>
      <c r="K26" s="1"/>
      <c r="L26" s="1" t="s">
        <v>113</v>
      </c>
      <c r="M26" s="1"/>
      <c r="N26" s="1"/>
      <c r="O26" s="1"/>
      <c r="P26" s="1"/>
      <c r="Q26" s="1"/>
    </row>
    <row r="27" spans="1:17" x14ac:dyDescent="0.25">
      <c r="A27" s="1" t="s">
        <v>16</v>
      </c>
      <c r="B27" s="1" t="s">
        <v>203</v>
      </c>
      <c r="C27" s="3">
        <v>41857780000178</v>
      </c>
      <c r="D27" s="1" t="s">
        <v>204</v>
      </c>
      <c r="E27" s="1"/>
      <c r="F27" s="4">
        <v>45729</v>
      </c>
      <c r="G27" s="1" t="s">
        <v>111</v>
      </c>
      <c r="H27" s="1" t="s">
        <v>118</v>
      </c>
      <c r="I27" s="1" t="s">
        <v>119</v>
      </c>
      <c r="J27" s="1" t="s">
        <v>120</v>
      </c>
      <c r="K27" s="1"/>
      <c r="L27" s="1" t="s">
        <v>113</v>
      </c>
      <c r="M27" s="1"/>
      <c r="N27" s="1"/>
      <c r="O27" s="1"/>
      <c r="P27" s="1"/>
      <c r="Q27" s="1"/>
    </row>
    <row r="28" spans="1:17" x14ac:dyDescent="0.25">
      <c r="A28" s="1" t="s">
        <v>17</v>
      </c>
      <c r="B28" s="1" t="s">
        <v>205</v>
      </c>
      <c r="C28" s="3">
        <v>46147812000165</v>
      </c>
      <c r="D28" s="1" t="s">
        <v>206</v>
      </c>
      <c r="E28" s="1"/>
      <c r="F28" s="4">
        <v>45643</v>
      </c>
      <c r="G28" s="1" t="s">
        <v>111</v>
      </c>
      <c r="H28" s="1" t="s">
        <v>207</v>
      </c>
      <c r="I28" s="1" t="s">
        <v>80</v>
      </c>
      <c r="J28" s="1" t="s">
        <v>112</v>
      </c>
      <c r="K28" s="1"/>
      <c r="L28" s="1" t="s">
        <v>113</v>
      </c>
      <c r="M28" s="1"/>
      <c r="N28" s="1"/>
      <c r="O28" s="1"/>
      <c r="P28" s="5">
        <v>45644.699386574073</v>
      </c>
      <c r="Q28" s="1" t="s">
        <v>208</v>
      </c>
    </row>
    <row r="29" spans="1:17" x14ac:dyDescent="0.25">
      <c r="A29" s="1" t="s">
        <v>17</v>
      </c>
      <c r="B29" s="1" t="s">
        <v>209</v>
      </c>
      <c r="C29" s="3">
        <v>20507505000154</v>
      </c>
      <c r="D29" s="1" t="s">
        <v>210</v>
      </c>
      <c r="E29" s="1"/>
      <c r="F29" s="4">
        <v>45833</v>
      </c>
      <c r="G29" s="1" t="s">
        <v>111</v>
      </c>
      <c r="H29" s="1" t="s">
        <v>118</v>
      </c>
      <c r="I29" s="1" t="s">
        <v>119</v>
      </c>
      <c r="J29" s="1" t="s">
        <v>112</v>
      </c>
      <c r="K29" s="1"/>
      <c r="L29" s="1" t="s">
        <v>113</v>
      </c>
      <c r="M29" s="1"/>
      <c r="N29" s="1"/>
      <c r="O29" s="1"/>
      <c r="P29" s="5">
        <v>45833.721261574072</v>
      </c>
      <c r="Q29" s="1" t="s">
        <v>211</v>
      </c>
    </row>
    <row r="30" spans="1:17" x14ac:dyDescent="0.25">
      <c r="A30" s="1" t="s">
        <v>17</v>
      </c>
      <c r="B30" s="1" t="s">
        <v>212</v>
      </c>
      <c r="C30" s="3">
        <v>31728428000189</v>
      </c>
      <c r="D30" s="1" t="s">
        <v>206</v>
      </c>
      <c r="E30" s="1"/>
      <c r="F30" s="4">
        <v>45643</v>
      </c>
      <c r="G30" s="1" t="s">
        <v>111</v>
      </c>
      <c r="H30" s="1" t="s">
        <v>207</v>
      </c>
      <c r="I30" s="1" t="s">
        <v>80</v>
      </c>
      <c r="J30" s="1" t="s">
        <v>133</v>
      </c>
      <c r="K30" s="4">
        <v>45674</v>
      </c>
      <c r="L30" s="1" t="s">
        <v>113</v>
      </c>
      <c r="M30" s="1" t="s">
        <v>134</v>
      </c>
      <c r="N30" s="1"/>
      <c r="O30" s="1"/>
      <c r="P30" s="5">
        <v>45644.422777777778</v>
      </c>
      <c r="Q30" s="1" t="s">
        <v>213</v>
      </c>
    </row>
    <row r="31" spans="1:17" x14ac:dyDescent="0.25">
      <c r="A31" s="1" t="s">
        <v>17</v>
      </c>
      <c r="B31" s="1" t="s">
        <v>214</v>
      </c>
      <c r="C31" s="3">
        <v>18689125000217</v>
      </c>
      <c r="D31" s="1" t="s">
        <v>206</v>
      </c>
      <c r="E31" s="1"/>
      <c r="F31" s="4">
        <v>45643</v>
      </c>
      <c r="G31" s="1" t="s">
        <v>111</v>
      </c>
      <c r="H31" s="1" t="s">
        <v>207</v>
      </c>
      <c r="I31" s="1" t="s">
        <v>80</v>
      </c>
      <c r="J31" s="1" t="s">
        <v>112</v>
      </c>
      <c r="K31" s="1"/>
      <c r="L31" s="1" t="s">
        <v>113</v>
      </c>
      <c r="M31" s="1"/>
      <c r="N31" s="1"/>
      <c r="O31" s="1"/>
      <c r="P31" s="5">
        <v>45665.695636574077</v>
      </c>
      <c r="Q31" s="1" t="s">
        <v>215</v>
      </c>
    </row>
    <row r="32" spans="1:17" x14ac:dyDescent="0.25">
      <c r="A32" s="1" t="s">
        <v>17</v>
      </c>
      <c r="B32" s="1" t="s">
        <v>216</v>
      </c>
      <c r="C32" s="3">
        <v>23955870000110</v>
      </c>
      <c r="D32" s="1" t="s">
        <v>217</v>
      </c>
      <c r="E32" s="1"/>
      <c r="F32" s="4">
        <v>45723</v>
      </c>
      <c r="G32" s="1" t="s">
        <v>111</v>
      </c>
      <c r="H32" s="1" t="s">
        <v>207</v>
      </c>
      <c r="I32" s="1" t="s">
        <v>80</v>
      </c>
      <c r="J32" s="1" t="s">
        <v>112</v>
      </c>
      <c r="K32" s="1"/>
      <c r="L32" s="1" t="s">
        <v>113</v>
      </c>
      <c r="M32" s="1"/>
      <c r="N32" s="1"/>
      <c r="O32" s="1"/>
      <c r="P32" s="5">
        <v>45723.739270833335</v>
      </c>
      <c r="Q32" s="1" t="s">
        <v>218</v>
      </c>
    </row>
    <row r="33" spans="1:17" x14ac:dyDescent="0.25">
      <c r="A33" s="1" t="s">
        <v>17</v>
      </c>
      <c r="B33" s="1" t="s">
        <v>219</v>
      </c>
      <c r="C33" s="3">
        <v>7650998000119</v>
      </c>
      <c r="D33" s="1" t="s">
        <v>206</v>
      </c>
      <c r="E33" s="1"/>
      <c r="F33" s="4">
        <v>45643</v>
      </c>
      <c r="G33" s="1" t="s">
        <v>111</v>
      </c>
      <c r="H33" s="1" t="s">
        <v>207</v>
      </c>
      <c r="I33" s="1" t="s">
        <v>80</v>
      </c>
      <c r="J33" s="1" t="s">
        <v>112</v>
      </c>
      <c r="K33" s="1"/>
      <c r="L33" s="1" t="s">
        <v>113</v>
      </c>
      <c r="M33" s="1"/>
      <c r="N33" s="1"/>
      <c r="O33" s="1"/>
      <c r="P33" s="5">
        <v>45643.575196759259</v>
      </c>
      <c r="Q33" s="1" t="s">
        <v>220</v>
      </c>
    </row>
    <row r="34" spans="1:17" x14ac:dyDescent="0.25">
      <c r="A34" s="1" t="s">
        <v>17</v>
      </c>
      <c r="B34" s="1" t="s">
        <v>188</v>
      </c>
      <c r="C34" s="3">
        <v>42515149000153</v>
      </c>
      <c r="D34" s="1" t="s">
        <v>206</v>
      </c>
      <c r="E34" s="1"/>
      <c r="F34" s="4">
        <v>45643</v>
      </c>
      <c r="G34" s="1" t="s">
        <v>111</v>
      </c>
      <c r="H34" s="1" t="s">
        <v>207</v>
      </c>
      <c r="I34" s="1" t="s">
        <v>80</v>
      </c>
      <c r="J34" s="1" t="s">
        <v>120</v>
      </c>
      <c r="K34" s="1"/>
      <c r="L34" s="1" t="s">
        <v>113</v>
      </c>
      <c r="M34" s="1"/>
      <c r="N34" s="1"/>
      <c r="O34" s="1"/>
      <c r="P34" s="1"/>
      <c r="Q34" s="1"/>
    </row>
    <row r="35" spans="1:17" x14ac:dyDescent="0.25">
      <c r="A35" s="1" t="s">
        <v>19</v>
      </c>
      <c r="B35" s="1" t="s">
        <v>221</v>
      </c>
      <c r="C35" s="3">
        <v>16622284000198</v>
      </c>
      <c r="D35" s="1" t="s">
        <v>222</v>
      </c>
      <c r="E35" s="1"/>
      <c r="F35" s="4">
        <v>45799</v>
      </c>
      <c r="G35" s="1" t="s">
        <v>111</v>
      </c>
      <c r="H35" s="1" t="s">
        <v>118</v>
      </c>
      <c r="I35" s="1" t="s">
        <v>119</v>
      </c>
      <c r="J35" s="1" t="s">
        <v>120</v>
      </c>
      <c r="K35" s="1"/>
      <c r="L35" s="1" t="s">
        <v>113</v>
      </c>
      <c r="M35" s="1"/>
      <c r="N35" s="1"/>
      <c r="O35" s="1"/>
      <c r="P35" s="1"/>
      <c r="Q35" s="1"/>
    </row>
    <row r="36" spans="1:17" x14ac:dyDescent="0.25">
      <c r="A36" s="1" t="s">
        <v>19</v>
      </c>
      <c r="B36" s="1" t="s">
        <v>221</v>
      </c>
      <c r="C36" s="3">
        <v>16622284001160</v>
      </c>
      <c r="D36" s="1" t="s">
        <v>222</v>
      </c>
      <c r="E36" s="1"/>
      <c r="F36" s="4">
        <v>45840</v>
      </c>
      <c r="G36" s="1" t="s">
        <v>111</v>
      </c>
      <c r="H36" s="1" t="s">
        <v>118</v>
      </c>
      <c r="I36" s="1" t="s">
        <v>119</v>
      </c>
      <c r="J36" s="1" t="s">
        <v>112</v>
      </c>
      <c r="K36" s="1"/>
      <c r="L36" s="1" t="s">
        <v>113</v>
      </c>
      <c r="M36" s="1"/>
      <c r="N36" s="1"/>
      <c r="O36" s="1"/>
      <c r="P36" s="5">
        <v>45841.960081018522</v>
      </c>
      <c r="Q36" s="1" t="s">
        <v>223</v>
      </c>
    </row>
    <row r="37" spans="1:17" x14ac:dyDescent="0.25">
      <c r="A37" s="1" t="s">
        <v>19</v>
      </c>
      <c r="B37" s="1" t="s">
        <v>221</v>
      </c>
      <c r="C37" s="3">
        <v>16622284001755</v>
      </c>
      <c r="D37" s="1" t="s">
        <v>222</v>
      </c>
      <c r="E37" s="1"/>
      <c r="F37" s="4">
        <v>45840</v>
      </c>
      <c r="G37" s="1" t="s">
        <v>111</v>
      </c>
      <c r="H37" s="1" t="s">
        <v>118</v>
      </c>
      <c r="I37" s="1" t="s">
        <v>119</v>
      </c>
      <c r="J37" s="1" t="s">
        <v>112</v>
      </c>
      <c r="K37" s="1"/>
      <c r="L37" s="1" t="s">
        <v>113</v>
      </c>
      <c r="M37" s="1"/>
      <c r="N37" s="1"/>
      <c r="O37" s="1"/>
      <c r="P37" s="5">
        <v>45841.961157407408</v>
      </c>
      <c r="Q37" s="1" t="s">
        <v>224</v>
      </c>
    </row>
    <row r="38" spans="1:17" x14ac:dyDescent="0.25">
      <c r="A38" s="1" t="s">
        <v>20</v>
      </c>
      <c r="B38" s="1" t="s">
        <v>225</v>
      </c>
      <c r="C38" s="3">
        <v>23640983000126</v>
      </c>
      <c r="D38" s="1" t="s">
        <v>226</v>
      </c>
      <c r="E38" s="1"/>
      <c r="F38" s="4">
        <v>45691</v>
      </c>
      <c r="G38" s="1" t="s">
        <v>227</v>
      </c>
      <c r="H38" s="1" t="s">
        <v>118</v>
      </c>
      <c r="I38" s="1" t="s">
        <v>119</v>
      </c>
      <c r="J38" s="1" t="s">
        <v>120</v>
      </c>
      <c r="K38" s="1"/>
      <c r="L38" s="1" t="s">
        <v>113</v>
      </c>
      <c r="M38" s="1"/>
      <c r="N38" s="1"/>
      <c r="O38" s="1"/>
      <c r="P38" s="1"/>
      <c r="Q38" s="1"/>
    </row>
    <row r="39" spans="1:17" x14ac:dyDescent="0.25">
      <c r="A39" s="1" t="s">
        <v>20</v>
      </c>
      <c r="B39" s="1" t="s">
        <v>228</v>
      </c>
      <c r="C39" s="3">
        <v>32725584000159</v>
      </c>
      <c r="D39" s="1" t="s">
        <v>229</v>
      </c>
      <c r="E39" s="1"/>
      <c r="F39" s="4">
        <v>45842</v>
      </c>
      <c r="G39" s="1" t="s">
        <v>111</v>
      </c>
      <c r="H39" s="1" t="s">
        <v>118</v>
      </c>
      <c r="I39" s="1" t="s">
        <v>119</v>
      </c>
      <c r="J39" s="1" t="s">
        <v>112</v>
      </c>
      <c r="K39" s="1"/>
      <c r="L39" s="1" t="s">
        <v>113</v>
      </c>
      <c r="M39" s="1"/>
      <c r="N39" s="1"/>
      <c r="O39" s="1"/>
      <c r="P39" s="5">
        <v>45842.438807870371</v>
      </c>
      <c r="Q39" s="1" t="s">
        <v>230</v>
      </c>
    </row>
    <row r="40" spans="1:17" x14ac:dyDescent="0.25">
      <c r="A40" s="1" t="s">
        <v>20</v>
      </c>
      <c r="B40" s="1" t="s">
        <v>231</v>
      </c>
      <c r="C40" s="3">
        <v>38612738000182</v>
      </c>
      <c r="D40" s="1" t="s">
        <v>232</v>
      </c>
      <c r="E40" s="1"/>
      <c r="F40" s="4">
        <v>45687</v>
      </c>
      <c r="G40" s="1" t="s">
        <v>111</v>
      </c>
      <c r="H40" s="1" t="s">
        <v>118</v>
      </c>
      <c r="I40" s="1" t="s">
        <v>119</v>
      </c>
      <c r="J40" s="1" t="s">
        <v>112</v>
      </c>
      <c r="K40" s="1"/>
      <c r="L40" s="1" t="s">
        <v>113</v>
      </c>
      <c r="M40" s="1"/>
      <c r="N40" s="1"/>
      <c r="O40" s="1"/>
      <c r="P40" s="5">
        <v>45687.842581018522</v>
      </c>
      <c r="Q40" s="1" t="s">
        <v>233</v>
      </c>
    </row>
    <row r="41" spans="1:17" x14ac:dyDescent="0.25">
      <c r="A41" s="1" t="s">
        <v>21</v>
      </c>
      <c r="B41" s="1" t="s">
        <v>234</v>
      </c>
      <c r="C41" s="3">
        <v>11199446000103</v>
      </c>
      <c r="D41" s="1" t="s">
        <v>235</v>
      </c>
      <c r="E41" s="1"/>
      <c r="F41" s="4">
        <v>45643</v>
      </c>
      <c r="G41" s="1" t="s">
        <v>111</v>
      </c>
      <c r="H41" s="1" t="s">
        <v>61</v>
      </c>
      <c r="I41" s="1" t="s">
        <v>62</v>
      </c>
      <c r="J41" s="1" t="s">
        <v>112</v>
      </c>
      <c r="K41" s="1"/>
      <c r="L41" s="1" t="s">
        <v>113</v>
      </c>
      <c r="M41" s="1"/>
      <c r="N41" s="1"/>
      <c r="O41" s="1"/>
      <c r="P41" s="5">
        <v>45643.586226851854</v>
      </c>
      <c r="Q41" s="1"/>
    </row>
    <row r="42" spans="1:17" x14ac:dyDescent="0.25">
      <c r="A42" s="1" t="s">
        <v>21</v>
      </c>
      <c r="B42" s="1" t="s">
        <v>236</v>
      </c>
      <c r="C42" s="3">
        <v>42696029000108</v>
      </c>
      <c r="D42" s="1" t="s">
        <v>237</v>
      </c>
      <c r="E42" s="1"/>
      <c r="F42" s="4">
        <v>45761</v>
      </c>
      <c r="G42" s="1" t="s">
        <v>238</v>
      </c>
      <c r="H42" s="1" t="s">
        <v>118</v>
      </c>
      <c r="I42" s="1" t="s">
        <v>119</v>
      </c>
      <c r="J42" s="1" t="s">
        <v>112</v>
      </c>
      <c r="K42" s="1"/>
      <c r="L42" s="1" t="s">
        <v>113</v>
      </c>
      <c r="M42" s="1"/>
      <c r="N42" s="1"/>
      <c r="O42" s="1"/>
      <c r="P42" s="5">
        <v>45761.593807870369</v>
      </c>
      <c r="Q42" s="1" t="s">
        <v>239</v>
      </c>
    </row>
    <row r="43" spans="1:17" x14ac:dyDescent="0.25">
      <c r="A43" s="1" t="s">
        <v>21</v>
      </c>
      <c r="B43" s="1" t="s">
        <v>240</v>
      </c>
      <c r="C43" s="3">
        <v>21442256000129</v>
      </c>
      <c r="D43" s="1" t="s">
        <v>241</v>
      </c>
      <c r="E43" s="1" t="s">
        <v>242</v>
      </c>
      <c r="F43" s="4">
        <v>45455</v>
      </c>
      <c r="G43" s="1" t="s">
        <v>243</v>
      </c>
      <c r="H43" s="1" t="s">
        <v>61</v>
      </c>
      <c r="I43" s="1" t="s">
        <v>62</v>
      </c>
      <c r="J43" s="1" t="s">
        <v>112</v>
      </c>
      <c r="K43" s="1"/>
      <c r="L43" s="1" t="s">
        <v>113</v>
      </c>
      <c r="M43" s="1"/>
      <c r="N43" s="1"/>
      <c r="O43" s="1"/>
      <c r="P43" s="5">
        <v>45456.33997685185</v>
      </c>
      <c r="Q43" s="1" t="s">
        <v>244</v>
      </c>
    </row>
    <row r="44" spans="1:17" x14ac:dyDescent="0.25">
      <c r="A44" s="1" t="s">
        <v>21</v>
      </c>
      <c r="B44" s="1" t="s">
        <v>245</v>
      </c>
      <c r="C44" s="3">
        <v>35636139000100</v>
      </c>
      <c r="D44" s="1" t="s">
        <v>246</v>
      </c>
      <c r="E44" s="1"/>
      <c r="F44" s="4">
        <v>45792</v>
      </c>
      <c r="G44" s="1" t="s">
        <v>111</v>
      </c>
      <c r="H44" s="1" t="s">
        <v>118</v>
      </c>
      <c r="I44" s="1" t="s">
        <v>119</v>
      </c>
      <c r="J44" s="1" t="s">
        <v>112</v>
      </c>
      <c r="K44" s="1"/>
      <c r="L44" s="1" t="s">
        <v>113</v>
      </c>
      <c r="M44" s="1"/>
      <c r="N44" s="1"/>
      <c r="O44" s="1"/>
      <c r="P44" s="5">
        <v>45792.579583333332</v>
      </c>
      <c r="Q44" s="1" t="s">
        <v>247</v>
      </c>
    </row>
    <row r="45" spans="1:17" x14ac:dyDescent="0.25">
      <c r="A45" s="1" t="s">
        <v>21</v>
      </c>
      <c r="B45" s="1" t="s">
        <v>248</v>
      </c>
      <c r="C45" s="3">
        <v>16909605000130</v>
      </c>
      <c r="D45" s="1" t="s">
        <v>235</v>
      </c>
      <c r="E45" s="1"/>
      <c r="F45" s="4">
        <v>45643</v>
      </c>
      <c r="G45" s="1" t="s">
        <v>111</v>
      </c>
      <c r="H45" s="1" t="s">
        <v>61</v>
      </c>
      <c r="I45" s="1" t="s">
        <v>62</v>
      </c>
      <c r="J45" s="1" t="s">
        <v>112</v>
      </c>
      <c r="K45" s="1"/>
      <c r="L45" s="1" t="s">
        <v>113</v>
      </c>
      <c r="M45" s="1"/>
      <c r="N45" s="1"/>
      <c r="O45" s="1"/>
      <c r="P45" s="5">
        <v>45643.588368055556</v>
      </c>
      <c r="Q45" s="1" t="s">
        <v>249</v>
      </c>
    </row>
    <row r="46" spans="1:17" x14ac:dyDescent="0.25">
      <c r="A46" s="1" t="s">
        <v>21</v>
      </c>
      <c r="B46" s="1" t="s">
        <v>250</v>
      </c>
      <c r="C46" s="3">
        <v>40177882000180</v>
      </c>
      <c r="D46" s="1" t="s">
        <v>251</v>
      </c>
      <c r="E46" s="1"/>
      <c r="F46" s="4">
        <v>45751</v>
      </c>
      <c r="G46" s="1" t="s">
        <v>243</v>
      </c>
      <c r="H46" s="1" t="s">
        <v>118</v>
      </c>
      <c r="I46" s="1" t="s">
        <v>119</v>
      </c>
      <c r="J46" s="1" t="s">
        <v>112</v>
      </c>
      <c r="K46" s="1"/>
      <c r="L46" s="1" t="s">
        <v>113</v>
      </c>
      <c r="M46" s="1"/>
      <c r="N46" s="1"/>
      <c r="O46" s="1"/>
      <c r="P46" s="5">
        <v>45751.694675925923</v>
      </c>
      <c r="Q46" s="1" t="s">
        <v>252</v>
      </c>
    </row>
    <row r="47" spans="1:17" x14ac:dyDescent="0.25">
      <c r="A47" s="1" t="s">
        <v>21</v>
      </c>
      <c r="B47" s="1" t="s">
        <v>253</v>
      </c>
      <c r="C47" s="3">
        <v>44807883000111</v>
      </c>
      <c r="D47" s="1" t="s">
        <v>235</v>
      </c>
      <c r="E47" s="1"/>
      <c r="F47" s="4">
        <v>45643</v>
      </c>
      <c r="G47" s="1" t="s">
        <v>111</v>
      </c>
      <c r="H47" s="1" t="s">
        <v>61</v>
      </c>
      <c r="I47" s="1" t="s">
        <v>62</v>
      </c>
      <c r="J47" s="1" t="s">
        <v>112</v>
      </c>
      <c r="K47" s="1"/>
      <c r="L47" s="1" t="s">
        <v>113</v>
      </c>
      <c r="M47" s="1"/>
      <c r="N47" s="1"/>
      <c r="O47" s="1"/>
      <c r="P47" s="5">
        <v>45660.602326388886</v>
      </c>
      <c r="Q47" s="1" t="s">
        <v>254</v>
      </c>
    </row>
    <row r="48" spans="1:17" x14ac:dyDescent="0.25">
      <c r="A48" s="1" t="s">
        <v>21</v>
      </c>
      <c r="B48" s="1" t="s">
        <v>255</v>
      </c>
      <c r="C48" s="3">
        <v>37659808000195</v>
      </c>
      <c r="D48" s="1" t="s">
        <v>256</v>
      </c>
      <c r="E48" s="1"/>
      <c r="F48" s="4">
        <v>45722</v>
      </c>
      <c r="G48" s="1" t="s">
        <v>111</v>
      </c>
      <c r="H48" s="1" t="s">
        <v>118</v>
      </c>
      <c r="I48" s="1" t="s">
        <v>119</v>
      </c>
      <c r="J48" s="1" t="s">
        <v>112</v>
      </c>
      <c r="K48" s="1"/>
      <c r="L48" s="1" t="s">
        <v>113</v>
      </c>
      <c r="M48" s="1"/>
      <c r="N48" s="1"/>
      <c r="O48" s="1"/>
      <c r="P48" s="5">
        <v>45722.634351851855</v>
      </c>
      <c r="Q48" s="1" t="s">
        <v>257</v>
      </c>
    </row>
    <row r="49" spans="1:17" x14ac:dyDescent="0.25">
      <c r="A49" s="1" t="s">
        <v>21</v>
      </c>
      <c r="B49" s="1" t="s">
        <v>258</v>
      </c>
      <c r="C49" s="3">
        <v>3320386000107</v>
      </c>
      <c r="D49" s="1" t="s">
        <v>259</v>
      </c>
      <c r="E49" s="1" t="s">
        <v>260</v>
      </c>
      <c r="F49" s="4">
        <v>45455</v>
      </c>
      <c r="G49" s="1" t="s">
        <v>238</v>
      </c>
      <c r="H49" s="1" t="s">
        <v>87</v>
      </c>
      <c r="I49" s="1" t="s">
        <v>88</v>
      </c>
      <c r="J49" s="1" t="s">
        <v>112</v>
      </c>
      <c r="K49" s="1"/>
      <c r="L49" s="1" t="s">
        <v>113</v>
      </c>
      <c r="M49" s="1"/>
      <c r="N49" s="1"/>
      <c r="O49" s="1"/>
      <c r="P49" s="5">
        <v>45455.686851851853</v>
      </c>
      <c r="Q49" s="1" t="s">
        <v>261</v>
      </c>
    </row>
    <row r="50" spans="1:17" x14ac:dyDescent="0.25">
      <c r="A50" s="1" t="s">
        <v>21</v>
      </c>
      <c r="B50" s="1" t="s">
        <v>262</v>
      </c>
      <c r="C50" s="3">
        <v>23626331000137</v>
      </c>
      <c r="D50" s="1" t="s">
        <v>235</v>
      </c>
      <c r="E50" s="1"/>
      <c r="F50" s="4">
        <v>45643</v>
      </c>
      <c r="G50" s="1" t="s">
        <v>111</v>
      </c>
      <c r="H50" s="1" t="s">
        <v>61</v>
      </c>
      <c r="I50" s="1" t="s">
        <v>62</v>
      </c>
      <c r="J50" s="1" t="s">
        <v>120</v>
      </c>
      <c r="K50" s="1"/>
      <c r="L50" s="1" t="s">
        <v>113</v>
      </c>
      <c r="M50" s="1"/>
      <c r="N50" s="1"/>
      <c r="O50" s="1"/>
      <c r="P50" s="1"/>
      <c r="Q50" s="1"/>
    </row>
    <row r="51" spans="1:17" x14ac:dyDescent="0.25">
      <c r="A51" s="1" t="s">
        <v>21</v>
      </c>
      <c r="B51" s="1" t="s">
        <v>263</v>
      </c>
      <c r="C51" s="3">
        <v>25135736000106</v>
      </c>
      <c r="D51" s="1" t="s">
        <v>235</v>
      </c>
      <c r="E51" s="1"/>
      <c r="F51" s="4">
        <v>45643</v>
      </c>
      <c r="G51" s="1" t="s">
        <v>111</v>
      </c>
      <c r="H51" s="1" t="s">
        <v>61</v>
      </c>
      <c r="I51" s="1" t="s">
        <v>62</v>
      </c>
      <c r="J51" s="1" t="s">
        <v>112</v>
      </c>
      <c r="K51" s="1"/>
      <c r="L51" s="1" t="s">
        <v>113</v>
      </c>
      <c r="M51" s="1"/>
      <c r="N51" s="1"/>
      <c r="O51" s="1"/>
      <c r="P51" s="5">
        <v>45653.579363425924</v>
      </c>
      <c r="Q51" s="1" t="s">
        <v>264</v>
      </c>
    </row>
    <row r="52" spans="1:17" x14ac:dyDescent="0.25">
      <c r="A52" s="1" t="s">
        <v>21</v>
      </c>
      <c r="B52" s="1" t="s">
        <v>265</v>
      </c>
      <c r="C52" s="3">
        <v>20480240000148</v>
      </c>
      <c r="D52" s="1" t="s">
        <v>21</v>
      </c>
      <c r="E52" s="1"/>
      <c r="F52" s="4">
        <v>45729</v>
      </c>
      <c r="G52" s="1" t="s">
        <v>111</v>
      </c>
      <c r="H52" s="1" t="s">
        <v>118</v>
      </c>
      <c r="I52" s="1" t="s">
        <v>119</v>
      </c>
      <c r="J52" s="1" t="s">
        <v>133</v>
      </c>
      <c r="K52" s="4">
        <v>45729</v>
      </c>
      <c r="L52" s="1" t="s">
        <v>113</v>
      </c>
      <c r="M52" s="1" t="s">
        <v>155</v>
      </c>
      <c r="N52" s="1"/>
      <c r="O52" s="1"/>
      <c r="P52" s="5">
        <v>45729.434282407405</v>
      </c>
      <c r="Q52" s="1" t="s">
        <v>266</v>
      </c>
    </row>
    <row r="53" spans="1:17" x14ac:dyDescent="0.25">
      <c r="A53" s="1" t="s">
        <v>21</v>
      </c>
      <c r="B53" s="1" t="s">
        <v>265</v>
      </c>
      <c r="C53" s="3">
        <v>20480240000148</v>
      </c>
      <c r="D53" s="1" t="s">
        <v>235</v>
      </c>
      <c r="E53" s="1"/>
      <c r="F53" s="4">
        <v>45729</v>
      </c>
      <c r="G53" s="1" t="s">
        <v>111</v>
      </c>
      <c r="H53" s="1" t="s">
        <v>118</v>
      </c>
      <c r="I53" s="1" t="s">
        <v>119</v>
      </c>
      <c r="J53" s="1" t="s">
        <v>112</v>
      </c>
      <c r="K53" s="1"/>
      <c r="L53" s="1" t="s">
        <v>113</v>
      </c>
      <c r="M53" s="1"/>
      <c r="N53" s="1"/>
      <c r="O53" s="1"/>
      <c r="P53" s="5">
        <v>45729.664872685185</v>
      </c>
      <c r="Q53" s="1" t="s">
        <v>267</v>
      </c>
    </row>
    <row r="54" spans="1:17" x14ac:dyDescent="0.25">
      <c r="A54" s="1" t="s">
        <v>21</v>
      </c>
      <c r="B54" s="1" t="s">
        <v>268</v>
      </c>
      <c r="C54" s="3">
        <v>29148212000100</v>
      </c>
      <c r="D54" s="1" t="s">
        <v>269</v>
      </c>
      <c r="E54" s="1"/>
      <c r="F54" s="4">
        <v>45810</v>
      </c>
      <c r="G54" s="1" t="s">
        <v>111</v>
      </c>
      <c r="H54" s="1" t="s">
        <v>118</v>
      </c>
      <c r="I54" s="1" t="s">
        <v>119</v>
      </c>
      <c r="J54" s="1" t="s">
        <v>112</v>
      </c>
      <c r="K54" s="1"/>
      <c r="L54" s="1" t="s">
        <v>113</v>
      </c>
      <c r="M54" s="1"/>
      <c r="N54" s="1"/>
      <c r="O54" s="1"/>
      <c r="P54" s="5">
        <v>45810.752222222225</v>
      </c>
      <c r="Q54" s="1" t="s">
        <v>270</v>
      </c>
    </row>
    <row r="55" spans="1:17" x14ac:dyDescent="0.25">
      <c r="A55" s="1" t="s">
        <v>21</v>
      </c>
      <c r="B55" s="1" t="s">
        <v>271</v>
      </c>
      <c r="C55" s="3">
        <v>38504256000109</v>
      </c>
      <c r="D55" s="1" t="s">
        <v>235</v>
      </c>
      <c r="E55" s="1"/>
      <c r="F55" s="4">
        <v>45643</v>
      </c>
      <c r="G55" s="1" t="s">
        <v>111</v>
      </c>
      <c r="H55" s="1" t="s">
        <v>61</v>
      </c>
      <c r="I55" s="1" t="s">
        <v>62</v>
      </c>
      <c r="J55" s="1" t="s">
        <v>112</v>
      </c>
      <c r="K55" s="1"/>
      <c r="L55" s="1" t="s">
        <v>113</v>
      </c>
      <c r="M55" s="1"/>
      <c r="N55" s="1"/>
      <c r="O55" s="1"/>
      <c r="P55" s="5">
        <v>45643.59207175926</v>
      </c>
      <c r="Q55" s="1" t="s">
        <v>272</v>
      </c>
    </row>
    <row r="56" spans="1:17" x14ac:dyDescent="0.25">
      <c r="A56" s="1" t="s">
        <v>21</v>
      </c>
      <c r="B56" s="1" t="s">
        <v>273</v>
      </c>
      <c r="C56" s="3">
        <v>12157813000179</v>
      </c>
      <c r="D56" s="1" t="s">
        <v>235</v>
      </c>
      <c r="E56" s="1"/>
      <c r="F56" s="4">
        <v>45643</v>
      </c>
      <c r="G56" s="1" t="s">
        <v>111</v>
      </c>
      <c r="H56" s="1" t="s">
        <v>61</v>
      </c>
      <c r="I56" s="1" t="s">
        <v>62</v>
      </c>
      <c r="J56" s="1" t="s">
        <v>112</v>
      </c>
      <c r="K56" s="1"/>
      <c r="L56" s="1" t="s">
        <v>113</v>
      </c>
      <c r="M56" s="1"/>
      <c r="N56" s="1"/>
      <c r="O56" s="1"/>
      <c r="P56" s="5">
        <v>45643.592569444445</v>
      </c>
      <c r="Q56" s="1" t="s">
        <v>274</v>
      </c>
    </row>
    <row r="57" spans="1:17" x14ac:dyDescent="0.25">
      <c r="A57" s="1" t="s">
        <v>21</v>
      </c>
      <c r="B57" s="1" t="s">
        <v>275</v>
      </c>
      <c r="C57" s="3">
        <v>10800476000160</v>
      </c>
      <c r="D57" s="1" t="s">
        <v>276</v>
      </c>
      <c r="E57" s="1"/>
      <c r="F57" s="4">
        <v>45799</v>
      </c>
      <c r="G57" s="1" t="s">
        <v>111</v>
      </c>
      <c r="H57" s="1" t="s">
        <v>118</v>
      </c>
      <c r="I57" s="1" t="s">
        <v>119</v>
      </c>
      <c r="J57" s="1" t="s">
        <v>120</v>
      </c>
      <c r="K57" s="1"/>
      <c r="L57" s="1" t="s">
        <v>113</v>
      </c>
      <c r="M57" s="1"/>
      <c r="N57" s="1"/>
      <c r="O57" s="1"/>
      <c r="P57" s="1"/>
      <c r="Q57" s="1"/>
    </row>
    <row r="58" spans="1:17" x14ac:dyDescent="0.25">
      <c r="A58" s="1" t="s">
        <v>21</v>
      </c>
      <c r="B58" s="1" t="s">
        <v>277</v>
      </c>
      <c r="C58" s="3">
        <v>4057221000157</v>
      </c>
      <c r="D58" s="1" t="s">
        <v>235</v>
      </c>
      <c r="E58" s="1"/>
      <c r="F58" s="4">
        <v>45643</v>
      </c>
      <c r="G58" s="1" t="s">
        <v>111</v>
      </c>
      <c r="H58" s="1" t="s">
        <v>61</v>
      </c>
      <c r="I58" s="1" t="s">
        <v>62</v>
      </c>
      <c r="J58" s="1" t="s">
        <v>112</v>
      </c>
      <c r="K58" s="1"/>
      <c r="L58" s="1" t="s">
        <v>113</v>
      </c>
      <c r="M58" s="1"/>
      <c r="N58" s="1"/>
      <c r="O58" s="1"/>
      <c r="P58" s="5">
        <v>45643.595995370371</v>
      </c>
      <c r="Q58" s="1" t="s">
        <v>278</v>
      </c>
    </row>
    <row r="59" spans="1:17" x14ac:dyDescent="0.25">
      <c r="A59" s="1" t="s">
        <v>21</v>
      </c>
      <c r="B59" s="1" t="s">
        <v>279</v>
      </c>
      <c r="C59" s="3">
        <v>18644213000111</v>
      </c>
      <c r="D59" s="1" t="s">
        <v>235</v>
      </c>
      <c r="E59" s="1"/>
      <c r="F59" s="4">
        <v>45643</v>
      </c>
      <c r="G59" s="1" t="s">
        <v>111</v>
      </c>
      <c r="H59" s="1" t="s">
        <v>61</v>
      </c>
      <c r="I59" s="1" t="s">
        <v>62</v>
      </c>
      <c r="J59" s="1" t="s">
        <v>112</v>
      </c>
      <c r="K59" s="1"/>
      <c r="L59" s="1" t="s">
        <v>113</v>
      </c>
      <c r="M59" s="1"/>
      <c r="N59" s="1"/>
      <c r="O59" s="1"/>
      <c r="P59" s="5">
        <v>45643.59306712963</v>
      </c>
      <c r="Q59" s="1" t="s">
        <v>280</v>
      </c>
    </row>
    <row r="60" spans="1:17" x14ac:dyDescent="0.25">
      <c r="A60" s="1" t="s">
        <v>21</v>
      </c>
      <c r="B60" s="1" t="s">
        <v>281</v>
      </c>
      <c r="C60" s="3">
        <v>44263293000175</v>
      </c>
      <c r="D60" s="1" t="s">
        <v>282</v>
      </c>
      <c r="E60" s="1" t="s">
        <v>283</v>
      </c>
      <c r="F60" s="4">
        <v>45455</v>
      </c>
      <c r="G60" s="1" t="s">
        <v>243</v>
      </c>
      <c r="H60" s="1" t="s">
        <v>61</v>
      </c>
      <c r="I60" s="1" t="s">
        <v>62</v>
      </c>
      <c r="J60" s="1" t="s">
        <v>112</v>
      </c>
      <c r="K60" s="1"/>
      <c r="L60" s="1" t="s">
        <v>113</v>
      </c>
      <c r="M60" s="1"/>
      <c r="N60" s="1"/>
      <c r="O60" s="1"/>
      <c r="P60" s="5">
        <v>45455.687708333331</v>
      </c>
      <c r="Q60" s="1" t="s">
        <v>284</v>
      </c>
    </row>
    <row r="61" spans="1:17" x14ac:dyDescent="0.25">
      <c r="A61" s="1" t="s">
        <v>21</v>
      </c>
      <c r="B61" s="1" t="s">
        <v>285</v>
      </c>
      <c r="C61" s="3">
        <v>25040960000106</v>
      </c>
      <c r="D61" s="1" t="s">
        <v>286</v>
      </c>
      <c r="E61" s="1"/>
      <c r="F61" s="4">
        <v>45853</v>
      </c>
      <c r="G61" s="1" t="s">
        <v>287</v>
      </c>
      <c r="H61" s="1" t="s">
        <v>118</v>
      </c>
      <c r="I61" s="1" t="s">
        <v>119</v>
      </c>
      <c r="J61" s="1" t="s">
        <v>112</v>
      </c>
      <c r="K61" s="1"/>
      <c r="L61" s="1" t="s">
        <v>113</v>
      </c>
      <c r="M61" s="1"/>
      <c r="N61" s="1"/>
      <c r="O61" s="1"/>
      <c r="P61" s="5">
        <v>45859.606539351851</v>
      </c>
      <c r="Q61" s="1" t="s">
        <v>288</v>
      </c>
    </row>
    <row r="62" spans="1:17" x14ac:dyDescent="0.25">
      <c r="A62" s="1" t="s">
        <v>21</v>
      </c>
      <c r="B62" s="1" t="s">
        <v>289</v>
      </c>
      <c r="C62" s="3">
        <v>17415227000109</v>
      </c>
      <c r="D62" s="1" t="s">
        <v>290</v>
      </c>
      <c r="E62" s="1" t="s">
        <v>291</v>
      </c>
      <c r="F62" s="4">
        <v>45455</v>
      </c>
      <c r="G62" s="1" t="s">
        <v>243</v>
      </c>
      <c r="H62" s="1" t="s">
        <v>61</v>
      </c>
      <c r="I62" s="1" t="s">
        <v>62</v>
      </c>
      <c r="J62" s="1" t="s">
        <v>112</v>
      </c>
      <c r="K62" s="1"/>
      <c r="L62" s="1" t="s">
        <v>113</v>
      </c>
      <c r="M62" s="1"/>
      <c r="N62" s="1"/>
      <c r="O62" s="1"/>
      <c r="P62" s="5">
        <v>45455.688680555555</v>
      </c>
      <c r="Q62" s="1" t="s">
        <v>292</v>
      </c>
    </row>
    <row r="63" spans="1:17" x14ac:dyDescent="0.25">
      <c r="A63" s="1" t="s">
        <v>21</v>
      </c>
      <c r="B63" s="1" t="s">
        <v>293</v>
      </c>
      <c r="C63" s="3">
        <v>11182381000193</v>
      </c>
      <c r="D63" s="1" t="s">
        <v>259</v>
      </c>
      <c r="E63" s="1" t="s">
        <v>294</v>
      </c>
      <c r="F63" s="4">
        <v>45455</v>
      </c>
      <c r="G63" s="1" t="s">
        <v>238</v>
      </c>
      <c r="H63" s="1" t="s">
        <v>87</v>
      </c>
      <c r="I63" s="1" t="s">
        <v>88</v>
      </c>
      <c r="J63" s="1" t="s">
        <v>112</v>
      </c>
      <c r="K63" s="1"/>
      <c r="L63" s="1" t="s">
        <v>113</v>
      </c>
      <c r="M63" s="1"/>
      <c r="N63" s="1"/>
      <c r="O63" s="1"/>
      <c r="P63" s="5">
        <v>45455.689618055556</v>
      </c>
      <c r="Q63" s="1" t="s">
        <v>295</v>
      </c>
    </row>
    <row r="64" spans="1:17" x14ac:dyDescent="0.25">
      <c r="A64" s="1" t="s">
        <v>21</v>
      </c>
      <c r="B64" s="1" t="s">
        <v>296</v>
      </c>
      <c r="C64" s="3">
        <v>24680701000187</v>
      </c>
      <c r="D64" s="1" t="s">
        <v>297</v>
      </c>
      <c r="E64" s="1"/>
      <c r="F64" s="4">
        <v>45834</v>
      </c>
      <c r="G64" s="1" t="s">
        <v>238</v>
      </c>
      <c r="H64" s="1" t="s">
        <v>118</v>
      </c>
      <c r="I64" s="1" t="s">
        <v>119</v>
      </c>
      <c r="J64" s="1" t="s">
        <v>112</v>
      </c>
      <c r="K64" s="1"/>
      <c r="L64" s="1" t="s">
        <v>113</v>
      </c>
      <c r="M64" s="1"/>
      <c r="N64" s="1"/>
      <c r="O64" s="1"/>
      <c r="P64" s="5">
        <v>45834.693530092591</v>
      </c>
      <c r="Q64" s="1" t="s">
        <v>298</v>
      </c>
    </row>
    <row r="65" spans="1:17" x14ac:dyDescent="0.25">
      <c r="A65" s="1" t="s">
        <v>21</v>
      </c>
      <c r="B65" s="1" t="s">
        <v>299</v>
      </c>
      <c r="C65" s="3">
        <v>1673948000170</v>
      </c>
      <c r="D65" s="1" t="s">
        <v>235</v>
      </c>
      <c r="E65" s="1"/>
      <c r="F65" s="4">
        <v>45643</v>
      </c>
      <c r="G65" s="1" t="s">
        <v>111</v>
      </c>
      <c r="H65" s="1" t="s">
        <v>118</v>
      </c>
      <c r="I65" s="1" t="s">
        <v>119</v>
      </c>
      <c r="J65" s="1" t="s">
        <v>112</v>
      </c>
      <c r="K65" s="1"/>
      <c r="L65" s="1" t="s">
        <v>113</v>
      </c>
      <c r="M65" s="1"/>
      <c r="N65" s="1"/>
      <c r="O65" s="1"/>
      <c r="P65" s="5">
        <v>45643.593993055554</v>
      </c>
      <c r="Q65" s="1" t="s">
        <v>300</v>
      </c>
    </row>
    <row r="66" spans="1:17" x14ac:dyDescent="0.25">
      <c r="A66" s="1" t="s">
        <v>21</v>
      </c>
      <c r="B66" s="1" t="s">
        <v>301</v>
      </c>
      <c r="C66" s="3">
        <v>21689876000167</v>
      </c>
      <c r="D66" s="1" t="s">
        <v>235</v>
      </c>
      <c r="E66" s="1"/>
      <c r="F66" s="4">
        <v>45643</v>
      </c>
      <c r="G66" s="1" t="s">
        <v>111</v>
      </c>
      <c r="H66" s="1" t="s">
        <v>61</v>
      </c>
      <c r="I66" s="1" t="s">
        <v>62</v>
      </c>
      <c r="J66" s="1" t="s">
        <v>112</v>
      </c>
      <c r="K66" s="1"/>
      <c r="L66" s="1" t="s">
        <v>113</v>
      </c>
      <c r="M66" s="1"/>
      <c r="N66" s="1"/>
      <c r="O66" s="1"/>
      <c r="P66" s="5">
        <v>45643.594780092593</v>
      </c>
      <c r="Q66" s="1" t="s">
        <v>302</v>
      </c>
    </row>
    <row r="67" spans="1:17" x14ac:dyDescent="0.25">
      <c r="A67" s="1" t="s">
        <v>21</v>
      </c>
      <c r="B67" s="1" t="s">
        <v>303</v>
      </c>
      <c r="C67" s="3">
        <v>4772464000177</v>
      </c>
      <c r="D67" s="1" t="s">
        <v>304</v>
      </c>
      <c r="E67" s="1"/>
      <c r="F67" s="4">
        <v>45814</v>
      </c>
      <c r="G67" s="1" t="s">
        <v>111</v>
      </c>
      <c r="H67" s="1" t="s">
        <v>118</v>
      </c>
      <c r="I67" s="1" t="s">
        <v>119</v>
      </c>
      <c r="J67" s="1" t="s">
        <v>120</v>
      </c>
      <c r="K67" s="1"/>
      <c r="L67" s="1" t="s">
        <v>113</v>
      </c>
      <c r="M67" s="1"/>
      <c r="N67" s="1"/>
      <c r="O67" s="1"/>
      <c r="P67" s="1"/>
      <c r="Q67" s="1"/>
    </row>
    <row r="68" spans="1:17" x14ac:dyDescent="0.25">
      <c r="A68" s="1" t="s">
        <v>21</v>
      </c>
      <c r="B68" s="1" t="s">
        <v>305</v>
      </c>
      <c r="C68" s="3">
        <v>59704510000192</v>
      </c>
      <c r="D68" s="1" t="s">
        <v>235</v>
      </c>
      <c r="E68" s="1"/>
      <c r="F68" s="4">
        <v>45643</v>
      </c>
      <c r="G68" s="1" t="s">
        <v>111</v>
      </c>
      <c r="H68" s="1" t="s">
        <v>61</v>
      </c>
      <c r="I68" s="1" t="s">
        <v>62</v>
      </c>
      <c r="J68" s="1" t="s">
        <v>133</v>
      </c>
      <c r="K68" s="4">
        <v>45644</v>
      </c>
      <c r="L68" s="1" t="s">
        <v>113</v>
      </c>
      <c r="M68" s="1" t="s">
        <v>134</v>
      </c>
      <c r="N68" s="1"/>
      <c r="O68" s="1"/>
      <c r="P68" s="1"/>
      <c r="Q68" s="1"/>
    </row>
    <row r="69" spans="1:17" x14ac:dyDescent="0.25">
      <c r="A69" s="1" t="s">
        <v>21</v>
      </c>
      <c r="B69" s="1" t="s">
        <v>305</v>
      </c>
      <c r="C69" s="3">
        <v>59704510001679</v>
      </c>
      <c r="D69" s="1" t="s">
        <v>235</v>
      </c>
      <c r="E69" s="1"/>
      <c r="F69" s="4">
        <v>45644</v>
      </c>
      <c r="G69" s="1" t="s">
        <v>111</v>
      </c>
      <c r="H69" s="1" t="s">
        <v>118</v>
      </c>
      <c r="I69" s="1" t="s">
        <v>119</v>
      </c>
      <c r="J69" s="1" t="s">
        <v>120</v>
      </c>
      <c r="K69" s="1"/>
      <c r="L69" s="1" t="s">
        <v>113</v>
      </c>
      <c r="M69" s="1"/>
      <c r="N69" s="1"/>
      <c r="O69" s="1"/>
      <c r="P69" s="1"/>
      <c r="Q69" s="1"/>
    </row>
    <row r="70" spans="1:17" x14ac:dyDescent="0.25">
      <c r="A70" s="1" t="s">
        <v>21</v>
      </c>
      <c r="B70" s="1" t="s">
        <v>306</v>
      </c>
      <c r="C70" s="3">
        <v>43661104000150</v>
      </c>
      <c r="D70" s="1" t="s">
        <v>307</v>
      </c>
      <c r="E70" s="1"/>
      <c r="F70" s="4">
        <v>45763</v>
      </c>
      <c r="G70" s="1" t="s">
        <v>111</v>
      </c>
      <c r="H70" s="1" t="s">
        <v>118</v>
      </c>
      <c r="I70" s="1" t="s">
        <v>119</v>
      </c>
      <c r="J70" s="1" t="s">
        <v>133</v>
      </c>
      <c r="K70" s="4">
        <v>45763</v>
      </c>
      <c r="L70" s="1" t="s">
        <v>113</v>
      </c>
      <c r="M70" s="1" t="s">
        <v>155</v>
      </c>
      <c r="N70" s="1"/>
      <c r="O70" s="1"/>
      <c r="P70" s="5">
        <v>45763.397523148145</v>
      </c>
      <c r="Q70" s="1" t="s">
        <v>308</v>
      </c>
    </row>
    <row r="71" spans="1:17" x14ac:dyDescent="0.25">
      <c r="A71" s="1" t="s">
        <v>22</v>
      </c>
      <c r="B71" s="1" t="s">
        <v>309</v>
      </c>
      <c r="C71" s="3">
        <v>11293435000198</v>
      </c>
      <c r="D71" s="1" t="s">
        <v>310</v>
      </c>
      <c r="E71" s="1"/>
      <c r="F71" s="4">
        <v>45643</v>
      </c>
      <c r="G71" s="1" t="s">
        <v>111</v>
      </c>
      <c r="H71" s="1" t="s">
        <v>67</v>
      </c>
      <c r="I71" s="1" t="s">
        <v>68</v>
      </c>
      <c r="J71" s="1" t="s">
        <v>112</v>
      </c>
      <c r="K71" s="1"/>
      <c r="L71" s="1" t="s">
        <v>113</v>
      </c>
      <c r="M71" s="1"/>
      <c r="N71" s="1"/>
      <c r="O71" s="1"/>
      <c r="P71" s="5">
        <v>45643.605324074073</v>
      </c>
      <c r="Q71" s="1" t="s">
        <v>311</v>
      </c>
    </row>
    <row r="72" spans="1:17" x14ac:dyDescent="0.25">
      <c r="A72" s="1" t="s">
        <v>22</v>
      </c>
      <c r="B72" s="1" t="s">
        <v>312</v>
      </c>
      <c r="C72" s="3">
        <v>6155059000135</v>
      </c>
      <c r="D72" s="1" t="s">
        <v>310</v>
      </c>
      <c r="E72" s="1"/>
      <c r="F72" s="4">
        <v>45643</v>
      </c>
      <c r="G72" s="1" t="s">
        <v>111</v>
      </c>
      <c r="H72" s="1" t="s">
        <v>87</v>
      </c>
      <c r="I72" s="1" t="s">
        <v>88</v>
      </c>
      <c r="J72" s="1" t="s">
        <v>112</v>
      </c>
      <c r="K72" s="1"/>
      <c r="L72" s="1" t="s">
        <v>113</v>
      </c>
      <c r="M72" s="1"/>
      <c r="N72" s="1"/>
      <c r="O72" s="1"/>
      <c r="P72" s="5">
        <v>45643.605763888889</v>
      </c>
      <c r="Q72" s="1" t="s">
        <v>313</v>
      </c>
    </row>
    <row r="73" spans="1:17" x14ac:dyDescent="0.25">
      <c r="A73" s="1" t="s">
        <v>22</v>
      </c>
      <c r="B73" s="1" t="s">
        <v>314</v>
      </c>
      <c r="C73" s="3">
        <v>11915104000142</v>
      </c>
      <c r="D73" s="1" t="s">
        <v>310</v>
      </c>
      <c r="E73" s="1"/>
      <c r="F73" s="4">
        <v>45643</v>
      </c>
      <c r="G73" s="1" t="s">
        <v>111</v>
      </c>
      <c r="H73" s="1" t="s">
        <v>87</v>
      </c>
      <c r="I73" s="1" t="s">
        <v>88</v>
      </c>
      <c r="J73" s="1" t="s">
        <v>112</v>
      </c>
      <c r="K73" s="1"/>
      <c r="L73" s="1" t="s">
        <v>113</v>
      </c>
      <c r="M73" s="1"/>
      <c r="N73" s="1"/>
      <c r="O73" s="1"/>
      <c r="P73" s="5">
        <v>45643.606076388889</v>
      </c>
      <c r="Q73" s="1" t="s">
        <v>315</v>
      </c>
    </row>
    <row r="74" spans="1:17" x14ac:dyDescent="0.25">
      <c r="A74" s="1" t="s">
        <v>22</v>
      </c>
      <c r="B74" s="1" t="s">
        <v>316</v>
      </c>
      <c r="C74" s="3">
        <v>33907371000100</v>
      </c>
      <c r="D74" s="1" t="s">
        <v>310</v>
      </c>
      <c r="E74" s="1"/>
      <c r="F74" s="4">
        <v>45643</v>
      </c>
      <c r="G74" s="1" t="s">
        <v>111</v>
      </c>
      <c r="H74" s="1" t="s">
        <v>67</v>
      </c>
      <c r="I74" s="1" t="s">
        <v>68</v>
      </c>
      <c r="J74" s="1" t="s">
        <v>112</v>
      </c>
      <c r="K74" s="1"/>
      <c r="L74" s="1" t="s">
        <v>113</v>
      </c>
      <c r="M74" s="1"/>
      <c r="N74" s="1"/>
      <c r="O74" s="1"/>
      <c r="P74" s="5">
        <v>45643.597025462965</v>
      </c>
      <c r="Q74" s="1" t="s">
        <v>317</v>
      </c>
    </row>
    <row r="75" spans="1:17" x14ac:dyDescent="0.25">
      <c r="A75" s="1" t="s">
        <v>22</v>
      </c>
      <c r="B75" s="1" t="s">
        <v>318</v>
      </c>
      <c r="C75" s="3">
        <v>7799862000175</v>
      </c>
      <c r="D75" s="1" t="s">
        <v>310</v>
      </c>
      <c r="E75" s="1"/>
      <c r="F75" s="4">
        <v>45643</v>
      </c>
      <c r="G75" s="1" t="s">
        <v>111</v>
      </c>
      <c r="H75" s="1" t="s">
        <v>87</v>
      </c>
      <c r="I75" s="1" t="s">
        <v>88</v>
      </c>
      <c r="J75" s="1" t="s">
        <v>112</v>
      </c>
      <c r="K75" s="1"/>
      <c r="L75" s="1" t="s">
        <v>113</v>
      </c>
      <c r="M75" s="1"/>
      <c r="N75" s="1"/>
      <c r="O75" s="1"/>
      <c r="P75" s="5">
        <v>45643.606562499997</v>
      </c>
      <c r="Q75" s="1" t="s">
        <v>319</v>
      </c>
    </row>
    <row r="76" spans="1:17" x14ac:dyDescent="0.25">
      <c r="A76" s="1" t="s">
        <v>22</v>
      </c>
      <c r="B76" s="1" t="s">
        <v>320</v>
      </c>
      <c r="C76" s="3">
        <v>22943189000199</v>
      </c>
      <c r="D76" s="1" t="s">
        <v>310</v>
      </c>
      <c r="E76" s="1"/>
      <c r="F76" s="4">
        <v>45644</v>
      </c>
      <c r="G76" s="1" t="s">
        <v>111</v>
      </c>
      <c r="H76" s="1" t="s">
        <v>67</v>
      </c>
      <c r="I76" s="1" t="s">
        <v>68</v>
      </c>
      <c r="J76" s="1" t="s">
        <v>112</v>
      </c>
      <c r="K76" s="1"/>
      <c r="L76" s="1" t="s">
        <v>113</v>
      </c>
      <c r="M76" s="1"/>
      <c r="N76" s="1"/>
      <c r="O76" s="1"/>
      <c r="P76" s="5">
        <v>45716.429571759261</v>
      </c>
      <c r="Q76" s="1" t="s">
        <v>321</v>
      </c>
    </row>
    <row r="77" spans="1:17" x14ac:dyDescent="0.25">
      <c r="A77" s="1" t="s">
        <v>22</v>
      </c>
      <c r="B77" s="1" t="s">
        <v>322</v>
      </c>
      <c r="C77" s="3">
        <v>31372604000192</v>
      </c>
      <c r="D77" s="1" t="s">
        <v>310</v>
      </c>
      <c r="E77" s="1"/>
      <c r="F77" s="4">
        <v>45643</v>
      </c>
      <c r="G77" s="1" t="s">
        <v>111</v>
      </c>
      <c r="H77" s="1" t="s">
        <v>67</v>
      </c>
      <c r="I77" s="1" t="s">
        <v>68</v>
      </c>
      <c r="J77" s="1" t="s">
        <v>112</v>
      </c>
      <c r="K77" s="1"/>
      <c r="L77" s="1" t="s">
        <v>113</v>
      </c>
      <c r="M77" s="1"/>
      <c r="N77" s="1"/>
      <c r="O77" s="1"/>
      <c r="P77" s="5">
        <v>45740.421932870369</v>
      </c>
      <c r="Q77" s="1" t="s">
        <v>323</v>
      </c>
    </row>
    <row r="78" spans="1:17" x14ac:dyDescent="0.25">
      <c r="A78" s="1" t="s">
        <v>22</v>
      </c>
      <c r="B78" s="1" t="s">
        <v>136</v>
      </c>
      <c r="C78" s="3">
        <v>40020225000124</v>
      </c>
      <c r="D78" s="1" t="s">
        <v>310</v>
      </c>
      <c r="E78" s="1"/>
      <c r="F78" s="4">
        <v>45643</v>
      </c>
      <c r="G78" s="1" t="s">
        <v>111</v>
      </c>
      <c r="H78" s="1" t="s">
        <v>67</v>
      </c>
      <c r="I78" s="1" t="s">
        <v>68</v>
      </c>
      <c r="J78" s="1" t="s">
        <v>133</v>
      </c>
      <c r="K78" s="4">
        <v>45805</v>
      </c>
      <c r="L78" s="1" t="s">
        <v>113</v>
      </c>
      <c r="M78" s="1" t="s">
        <v>134</v>
      </c>
      <c r="N78" s="1"/>
      <c r="O78" s="1"/>
      <c r="P78" s="1"/>
      <c r="Q78" s="1"/>
    </row>
    <row r="79" spans="1:17" x14ac:dyDescent="0.25">
      <c r="A79" s="1" t="s">
        <v>22</v>
      </c>
      <c r="B79" s="1" t="s">
        <v>324</v>
      </c>
      <c r="C79" s="3">
        <v>14723086000195</v>
      </c>
      <c r="D79" s="1" t="s">
        <v>310</v>
      </c>
      <c r="E79" s="1"/>
      <c r="F79" s="4">
        <v>45643</v>
      </c>
      <c r="G79" s="1" t="s">
        <v>111</v>
      </c>
      <c r="H79" s="1" t="s">
        <v>67</v>
      </c>
      <c r="I79" s="1" t="s">
        <v>68</v>
      </c>
      <c r="J79" s="1" t="s">
        <v>112</v>
      </c>
      <c r="K79" s="1"/>
      <c r="L79" s="1" t="s">
        <v>113</v>
      </c>
      <c r="M79" s="1"/>
      <c r="N79" s="1"/>
      <c r="O79" s="1"/>
      <c r="P79" s="5">
        <v>45643.817256944443</v>
      </c>
      <c r="Q79" s="1" t="s">
        <v>325</v>
      </c>
    </row>
    <row r="80" spans="1:17" x14ac:dyDescent="0.25">
      <c r="A80" s="1" t="s">
        <v>22</v>
      </c>
      <c r="B80" s="1" t="s">
        <v>326</v>
      </c>
      <c r="C80" s="3">
        <v>51886821000108</v>
      </c>
      <c r="D80" s="1" t="s">
        <v>310</v>
      </c>
      <c r="E80" s="1"/>
      <c r="F80" s="4">
        <v>45643</v>
      </c>
      <c r="G80" s="1" t="s">
        <v>111</v>
      </c>
      <c r="H80" s="1" t="s">
        <v>87</v>
      </c>
      <c r="I80" s="1" t="s">
        <v>88</v>
      </c>
      <c r="J80" s="1" t="s">
        <v>112</v>
      </c>
      <c r="K80" s="1"/>
      <c r="L80" s="1" t="s">
        <v>113</v>
      </c>
      <c r="M80" s="1"/>
      <c r="N80" s="1"/>
      <c r="O80" s="1"/>
      <c r="P80" s="5">
        <v>45643.608124999999</v>
      </c>
      <c r="Q80" s="1" t="s">
        <v>327</v>
      </c>
    </row>
    <row r="81" spans="1:17" x14ac:dyDescent="0.25">
      <c r="A81" s="1" t="s">
        <v>22</v>
      </c>
      <c r="B81" s="1" t="s">
        <v>328</v>
      </c>
      <c r="C81" s="3">
        <v>13060517000118</v>
      </c>
      <c r="D81" s="1" t="s">
        <v>310</v>
      </c>
      <c r="E81" s="1"/>
      <c r="F81" s="4">
        <v>45643</v>
      </c>
      <c r="G81" s="1" t="s">
        <v>111</v>
      </c>
      <c r="H81" s="1" t="s">
        <v>67</v>
      </c>
      <c r="I81" s="1" t="s">
        <v>68</v>
      </c>
      <c r="J81" s="1" t="s">
        <v>112</v>
      </c>
      <c r="K81" s="1"/>
      <c r="L81" s="1" t="s">
        <v>113</v>
      </c>
      <c r="M81" s="1"/>
      <c r="N81" s="1"/>
      <c r="O81" s="1"/>
      <c r="P81" s="5">
        <v>45643.608472222222</v>
      </c>
      <c r="Q81" s="1" t="s">
        <v>329</v>
      </c>
    </row>
    <row r="82" spans="1:17" x14ac:dyDescent="0.25">
      <c r="A82" s="1" t="s">
        <v>22</v>
      </c>
      <c r="B82" s="1" t="s">
        <v>330</v>
      </c>
      <c r="C82" s="3">
        <v>386843000178</v>
      </c>
      <c r="D82" s="1" t="s">
        <v>310</v>
      </c>
      <c r="E82" s="1"/>
      <c r="F82" s="4">
        <v>45643</v>
      </c>
      <c r="G82" s="1" t="s">
        <v>111</v>
      </c>
      <c r="H82" s="1" t="s">
        <v>67</v>
      </c>
      <c r="I82" s="1" t="s">
        <v>68</v>
      </c>
      <c r="J82" s="1" t="s">
        <v>112</v>
      </c>
      <c r="K82" s="1"/>
      <c r="L82" s="1" t="s">
        <v>113</v>
      </c>
      <c r="M82" s="1"/>
      <c r="N82" s="1"/>
      <c r="O82" s="1"/>
      <c r="P82" s="5">
        <v>45643.608819444446</v>
      </c>
      <c r="Q82" s="1" t="s">
        <v>331</v>
      </c>
    </row>
    <row r="83" spans="1:17" x14ac:dyDescent="0.25">
      <c r="A83" s="1" t="s">
        <v>22</v>
      </c>
      <c r="B83" s="1" t="s">
        <v>332</v>
      </c>
      <c r="C83" s="3">
        <v>19382361000178</v>
      </c>
      <c r="D83" s="1" t="s">
        <v>310</v>
      </c>
      <c r="E83" s="1"/>
      <c r="F83" s="4">
        <v>45643</v>
      </c>
      <c r="G83" s="1" t="s">
        <v>111</v>
      </c>
      <c r="H83" s="1" t="s">
        <v>67</v>
      </c>
      <c r="I83" s="1" t="s">
        <v>68</v>
      </c>
      <c r="J83" s="1" t="s">
        <v>112</v>
      </c>
      <c r="K83" s="1"/>
      <c r="L83" s="1" t="s">
        <v>113</v>
      </c>
      <c r="M83" s="1"/>
      <c r="N83" s="1"/>
      <c r="O83" s="1"/>
      <c r="P83" s="5">
        <v>45643.609212962961</v>
      </c>
      <c r="Q83" s="1" t="s">
        <v>333</v>
      </c>
    </row>
    <row r="84" spans="1:17" x14ac:dyDescent="0.25">
      <c r="A84" s="1" t="s">
        <v>22</v>
      </c>
      <c r="B84" s="1" t="s">
        <v>334</v>
      </c>
      <c r="C84" s="3">
        <v>37185388000152</v>
      </c>
      <c r="D84" s="1" t="s">
        <v>310</v>
      </c>
      <c r="E84" s="1"/>
      <c r="F84" s="4">
        <v>45643</v>
      </c>
      <c r="G84" s="1" t="s">
        <v>111</v>
      </c>
      <c r="H84" s="1" t="s">
        <v>67</v>
      </c>
      <c r="I84" s="1" t="s">
        <v>68</v>
      </c>
      <c r="J84" s="1" t="s">
        <v>112</v>
      </c>
      <c r="K84" s="1"/>
      <c r="L84" s="1" t="s">
        <v>113</v>
      </c>
      <c r="M84" s="1"/>
      <c r="N84" s="1"/>
      <c r="O84" s="1"/>
      <c r="P84" s="5">
        <v>45701.685347222221</v>
      </c>
      <c r="Q84" s="1" t="s">
        <v>335</v>
      </c>
    </row>
    <row r="85" spans="1:17" x14ac:dyDescent="0.25">
      <c r="A85" s="1" t="s">
        <v>22</v>
      </c>
      <c r="B85" s="1" t="s">
        <v>336</v>
      </c>
      <c r="C85" s="3">
        <v>11456013000196</v>
      </c>
      <c r="D85" s="1" t="s">
        <v>310</v>
      </c>
      <c r="E85" s="1"/>
      <c r="F85" s="4">
        <v>45643</v>
      </c>
      <c r="G85" s="1" t="s">
        <v>111</v>
      </c>
      <c r="H85" s="1" t="s">
        <v>87</v>
      </c>
      <c r="I85" s="1" t="s">
        <v>88</v>
      </c>
      <c r="J85" s="1" t="s">
        <v>112</v>
      </c>
      <c r="K85" s="1"/>
      <c r="L85" s="1" t="s">
        <v>113</v>
      </c>
      <c r="M85" s="1"/>
      <c r="N85" s="1"/>
      <c r="O85" s="1"/>
      <c r="P85" s="5">
        <v>45643.609537037039</v>
      </c>
      <c r="Q85" s="1" t="s">
        <v>337</v>
      </c>
    </row>
    <row r="86" spans="1:17" x14ac:dyDescent="0.25">
      <c r="A86" s="1" t="s">
        <v>22</v>
      </c>
      <c r="B86" s="1" t="s">
        <v>338</v>
      </c>
      <c r="C86" s="3">
        <v>20482574000150</v>
      </c>
      <c r="D86" s="1" t="s">
        <v>310</v>
      </c>
      <c r="E86" s="1"/>
      <c r="F86" s="4">
        <v>45643</v>
      </c>
      <c r="G86" s="1" t="s">
        <v>111</v>
      </c>
      <c r="H86" s="1" t="s">
        <v>67</v>
      </c>
      <c r="I86" s="1" t="s">
        <v>68</v>
      </c>
      <c r="J86" s="1" t="s">
        <v>112</v>
      </c>
      <c r="K86" s="1"/>
      <c r="L86" s="1" t="s">
        <v>113</v>
      </c>
      <c r="M86" s="1"/>
      <c r="N86" s="1"/>
      <c r="O86" s="1"/>
      <c r="P86" s="5">
        <v>45643.609895833331</v>
      </c>
      <c r="Q86" s="1" t="s">
        <v>339</v>
      </c>
    </row>
    <row r="87" spans="1:17" x14ac:dyDescent="0.25">
      <c r="A87" s="1" t="s">
        <v>22</v>
      </c>
      <c r="B87" s="1" t="s">
        <v>340</v>
      </c>
      <c r="C87" s="3">
        <v>50117049000105</v>
      </c>
      <c r="D87" s="1" t="s">
        <v>310</v>
      </c>
      <c r="E87" s="1"/>
      <c r="F87" s="4">
        <v>45643</v>
      </c>
      <c r="G87" s="1" t="s">
        <v>111</v>
      </c>
      <c r="H87" s="1" t="s">
        <v>67</v>
      </c>
      <c r="I87" s="1" t="s">
        <v>68</v>
      </c>
      <c r="J87" s="1" t="s">
        <v>112</v>
      </c>
      <c r="K87" s="1"/>
      <c r="L87" s="1" t="s">
        <v>113</v>
      </c>
      <c r="M87" s="1"/>
      <c r="N87" s="1"/>
      <c r="O87" s="1"/>
      <c r="P87" s="5">
        <v>45643.597430555557</v>
      </c>
      <c r="Q87" s="1" t="s">
        <v>341</v>
      </c>
    </row>
    <row r="88" spans="1:17" x14ac:dyDescent="0.25">
      <c r="A88" s="1" t="s">
        <v>22</v>
      </c>
      <c r="B88" s="1" t="s">
        <v>342</v>
      </c>
      <c r="C88" s="3">
        <v>12471091000122</v>
      </c>
      <c r="D88" s="1" t="s">
        <v>310</v>
      </c>
      <c r="E88" s="1"/>
      <c r="F88" s="4">
        <v>45643</v>
      </c>
      <c r="G88" s="1" t="s">
        <v>111</v>
      </c>
      <c r="H88" s="1" t="s">
        <v>67</v>
      </c>
      <c r="I88" s="1" t="s">
        <v>68</v>
      </c>
      <c r="J88" s="1" t="s">
        <v>112</v>
      </c>
      <c r="K88" s="1"/>
      <c r="L88" s="1" t="s">
        <v>113</v>
      </c>
      <c r="M88" s="1"/>
      <c r="N88" s="1"/>
      <c r="O88" s="1"/>
      <c r="P88" s="5">
        <v>45643.610231481478</v>
      </c>
      <c r="Q88" s="1" t="s">
        <v>343</v>
      </c>
    </row>
    <row r="89" spans="1:17" x14ac:dyDescent="0.25">
      <c r="A89" s="1" t="s">
        <v>22</v>
      </c>
      <c r="B89" s="1" t="s">
        <v>344</v>
      </c>
      <c r="C89" s="3">
        <v>6118059000165</v>
      </c>
      <c r="D89" s="1" t="s">
        <v>310</v>
      </c>
      <c r="E89" s="1"/>
      <c r="F89" s="4">
        <v>45643</v>
      </c>
      <c r="G89" s="1" t="s">
        <v>111</v>
      </c>
      <c r="H89" s="1" t="s">
        <v>67</v>
      </c>
      <c r="I89" s="1" t="s">
        <v>68</v>
      </c>
      <c r="J89" s="1" t="s">
        <v>112</v>
      </c>
      <c r="K89" s="1"/>
      <c r="L89" s="1" t="s">
        <v>113</v>
      </c>
      <c r="M89" s="1"/>
      <c r="N89" s="1"/>
      <c r="O89" s="1"/>
      <c r="P89" s="5">
        <v>45678.629074074073</v>
      </c>
      <c r="Q89" s="1" t="s">
        <v>345</v>
      </c>
    </row>
    <row r="90" spans="1:17" x14ac:dyDescent="0.25">
      <c r="A90" s="1" t="s">
        <v>22</v>
      </c>
      <c r="B90" s="1" t="s">
        <v>145</v>
      </c>
      <c r="C90" s="3">
        <v>40875732000140</v>
      </c>
      <c r="D90" s="1" t="s">
        <v>310</v>
      </c>
      <c r="E90" s="1"/>
      <c r="F90" s="4">
        <v>45643</v>
      </c>
      <c r="G90" s="1" t="s">
        <v>111</v>
      </c>
      <c r="H90" s="1" t="s">
        <v>67</v>
      </c>
      <c r="I90" s="1" t="s">
        <v>68</v>
      </c>
      <c r="J90" s="1" t="s">
        <v>120</v>
      </c>
      <c r="K90" s="1"/>
      <c r="L90" s="1" t="s">
        <v>113</v>
      </c>
      <c r="M90" s="1"/>
      <c r="N90" s="1"/>
      <c r="O90" s="1"/>
      <c r="P90" s="1"/>
      <c r="Q90" s="1"/>
    </row>
    <row r="91" spans="1:17" x14ac:dyDescent="0.25">
      <c r="A91" s="1" t="s">
        <v>22</v>
      </c>
      <c r="B91" s="1" t="s">
        <v>346</v>
      </c>
      <c r="C91" s="3">
        <v>10660118000108</v>
      </c>
      <c r="D91" s="1" t="s">
        <v>310</v>
      </c>
      <c r="E91" s="1"/>
      <c r="F91" s="4">
        <v>45643</v>
      </c>
      <c r="G91" s="1" t="s">
        <v>111</v>
      </c>
      <c r="H91" s="1" t="s">
        <v>67</v>
      </c>
      <c r="I91" s="1" t="s">
        <v>68</v>
      </c>
      <c r="J91" s="1" t="s">
        <v>133</v>
      </c>
      <c r="K91" s="4">
        <v>45643</v>
      </c>
      <c r="L91" s="1" t="s">
        <v>113</v>
      </c>
      <c r="M91" s="1" t="s">
        <v>134</v>
      </c>
      <c r="N91" s="1"/>
      <c r="O91" s="1"/>
      <c r="P91" s="5">
        <v>45643.610902777778</v>
      </c>
      <c r="Q91" s="1" t="s">
        <v>347</v>
      </c>
    </row>
    <row r="92" spans="1:17" x14ac:dyDescent="0.25">
      <c r="A92" s="1" t="s">
        <v>22</v>
      </c>
      <c r="B92" s="1" t="s">
        <v>346</v>
      </c>
      <c r="C92" s="3">
        <v>10660118000108</v>
      </c>
      <c r="D92" s="1" t="s">
        <v>310</v>
      </c>
      <c r="E92" s="1"/>
      <c r="F92" s="4">
        <v>45643</v>
      </c>
      <c r="G92" s="1" t="s">
        <v>111</v>
      </c>
      <c r="H92" s="1" t="s">
        <v>67</v>
      </c>
      <c r="I92" s="1" t="s">
        <v>68</v>
      </c>
      <c r="J92" s="1" t="s">
        <v>112</v>
      </c>
      <c r="K92" s="1"/>
      <c r="L92" s="1" t="s">
        <v>113</v>
      </c>
      <c r="M92" s="1"/>
      <c r="N92" s="1"/>
      <c r="O92" s="1"/>
      <c r="P92" s="5">
        <v>45643.611608796295</v>
      </c>
      <c r="Q92" s="1" t="s">
        <v>348</v>
      </c>
    </row>
    <row r="93" spans="1:17" x14ac:dyDescent="0.25">
      <c r="A93" s="1" t="s">
        <v>22</v>
      </c>
      <c r="B93" s="1" t="s">
        <v>349</v>
      </c>
      <c r="C93" s="3">
        <v>7274695000149</v>
      </c>
      <c r="D93" s="1" t="s">
        <v>310</v>
      </c>
      <c r="E93" s="1"/>
      <c r="F93" s="4">
        <v>45643</v>
      </c>
      <c r="G93" s="1" t="s">
        <v>111</v>
      </c>
      <c r="H93" s="1" t="s">
        <v>67</v>
      </c>
      <c r="I93" s="1" t="s">
        <v>68</v>
      </c>
      <c r="J93" s="1" t="s">
        <v>112</v>
      </c>
      <c r="K93" s="1"/>
      <c r="L93" s="1" t="s">
        <v>113</v>
      </c>
      <c r="M93" s="1"/>
      <c r="N93" s="1"/>
      <c r="O93" s="1"/>
      <c r="P93" s="5">
        <v>45646.390914351854</v>
      </c>
      <c r="Q93" s="1" t="s">
        <v>350</v>
      </c>
    </row>
    <row r="94" spans="1:17" x14ac:dyDescent="0.25">
      <c r="A94" s="1" t="s">
        <v>22</v>
      </c>
      <c r="B94" s="1" t="s">
        <v>351</v>
      </c>
      <c r="C94" s="3">
        <v>5734878000174</v>
      </c>
      <c r="D94" s="1" t="s">
        <v>352</v>
      </c>
      <c r="E94" s="1"/>
      <c r="F94" s="4">
        <v>45643</v>
      </c>
      <c r="G94" s="1" t="s">
        <v>111</v>
      </c>
      <c r="H94" s="1" t="s">
        <v>118</v>
      </c>
      <c r="I94" s="1" t="s">
        <v>119</v>
      </c>
      <c r="J94" s="1" t="s">
        <v>112</v>
      </c>
      <c r="K94" s="1"/>
      <c r="L94" s="1" t="s">
        <v>113</v>
      </c>
      <c r="M94" s="1"/>
      <c r="N94" s="1"/>
      <c r="O94" s="1"/>
      <c r="P94" s="5">
        <v>45643.611238425925</v>
      </c>
      <c r="Q94" s="1" t="s">
        <v>353</v>
      </c>
    </row>
    <row r="95" spans="1:17" x14ac:dyDescent="0.25">
      <c r="A95" s="1" t="s">
        <v>22</v>
      </c>
      <c r="B95" s="1" t="s">
        <v>354</v>
      </c>
      <c r="C95" s="3">
        <v>10335375000166</v>
      </c>
      <c r="D95" s="1" t="s">
        <v>310</v>
      </c>
      <c r="E95" s="1"/>
      <c r="F95" s="4">
        <v>45644</v>
      </c>
      <c r="G95" s="1" t="s">
        <v>111</v>
      </c>
      <c r="H95" s="1" t="s">
        <v>87</v>
      </c>
      <c r="I95" s="1" t="s">
        <v>88</v>
      </c>
      <c r="J95" s="1" t="s">
        <v>112</v>
      </c>
      <c r="K95" s="1"/>
      <c r="L95" s="1" t="s">
        <v>113</v>
      </c>
      <c r="M95" s="1"/>
      <c r="N95" s="1"/>
      <c r="O95" s="1"/>
      <c r="P95" s="5">
        <v>45644.516215277778</v>
      </c>
      <c r="Q95" s="1" t="s">
        <v>347</v>
      </c>
    </row>
    <row r="96" spans="1:17" x14ac:dyDescent="0.25">
      <c r="A96" s="1" t="s">
        <v>22</v>
      </c>
      <c r="B96" s="1" t="s">
        <v>354</v>
      </c>
      <c r="C96" s="3">
        <v>10335375000166</v>
      </c>
      <c r="D96" s="1" t="s">
        <v>355</v>
      </c>
      <c r="E96" s="1"/>
      <c r="F96" s="4">
        <v>45834</v>
      </c>
      <c r="G96" s="1" t="s">
        <v>111</v>
      </c>
      <c r="H96" s="1" t="s">
        <v>118</v>
      </c>
      <c r="I96" s="1" t="s">
        <v>119</v>
      </c>
      <c r="J96" s="1" t="s">
        <v>133</v>
      </c>
      <c r="K96" s="4">
        <v>45834</v>
      </c>
      <c r="L96" s="1" t="s">
        <v>113</v>
      </c>
      <c r="M96" s="1" t="s">
        <v>155</v>
      </c>
      <c r="N96" s="1"/>
      <c r="O96" s="1"/>
      <c r="P96" s="1"/>
      <c r="Q96" s="1"/>
    </row>
    <row r="97" spans="1:17" x14ac:dyDescent="0.25">
      <c r="A97" s="1" t="s">
        <v>22</v>
      </c>
      <c r="B97" s="1" t="s">
        <v>356</v>
      </c>
      <c r="C97" s="3">
        <v>6246618000112</v>
      </c>
      <c r="D97" s="1" t="s">
        <v>310</v>
      </c>
      <c r="E97" s="1"/>
      <c r="F97" s="4">
        <v>45643</v>
      </c>
      <c r="G97" s="1" t="s">
        <v>111</v>
      </c>
      <c r="H97" s="1" t="s">
        <v>67</v>
      </c>
      <c r="I97" s="1" t="s">
        <v>68</v>
      </c>
      <c r="J97" s="1" t="s">
        <v>112</v>
      </c>
      <c r="K97" s="1"/>
      <c r="L97" s="1" t="s">
        <v>113</v>
      </c>
      <c r="M97" s="1"/>
      <c r="N97" s="1"/>
      <c r="O97" s="1"/>
      <c r="P97" s="5">
        <v>45643.610532407409</v>
      </c>
      <c r="Q97" s="1" t="s">
        <v>357</v>
      </c>
    </row>
    <row r="98" spans="1:17" x14ac:dyDescent="0.25">
      <c r="A98" s="1" t="s">
        <v>22</v>
      </c>
      <c r="B98" s="1" t="s">
        <v>358</v>
      </c>
      <c r="C98" s="3">
        <v>5957524000199</v>
      </c>
      <c r="D98" s="1" t="s">
        <v>310</v>
      </c>
      <c r="E98" s="1"/>
      <c r="F98" s="4">
        <v>45643</v>
      </c>
      <c r="G98" s="1" t="s">
        <v>111</v>
      </c>
      <c r="H98" s="1" t="s">
        <v>87</v>
      </c>
      <c r="I98" s="1" t="s">
        <v>88</v>
      </c>
      <c r="J98" s="1" t="s">
        <v>112</v>
      </c>
      <c r="K98" s="1"/>
      <c r="L98" s="1" t="s">
        <v>113</v>
      </c>
      <c r="M98" s="1"/>
      <c r="N98" s="1"/>
      <c r="O98" s="1"/>
      <c r="P98" s="5">
        <v>45643.613622685189</v>
      </c>
      <c r="Q98" s="1" t="s">
        <v>359</v>
      </c>
    </row>
    <row r="99" spans="1:17" x14ac:dyDescent="0.25">
      <c r="A99" s="1" t="s">
        <v>22</v>
      </c>
      <c r="B99" s="1" t="s">
        <v>360</v>
      </c>
      <c r="C99" s="3">
        <v>6916556000109</v>
      </c>
      <c r="D99" s="1" t="s">
        <v>310</v>
      </c>
      <c r="E99" s="1"/>
      <c r="F99" s="4">
        <v>45643</v>
      </c>
      <c r="G99" s="1" t="s">
        <v>111</v>
      </c>
      <c r="H99" s="1" t="s">
        <v>67</v>
      </c>
      <c r="I99" s="1" t="s">
        <v>68</v>
      </c>
      <c r="J99" s="1" t="s">
        <v>112</v>
      </c>
      <c r="K99" s="1"/>
      <c r="L99" s="1" t="s">
        <v>113</v>
      </c>
      <c r="M99" s="1"/>
      <c r="N99" s="1"/>
      <c r="O99" s="1"/>
      <c r="P99" s="5">
        <v>45721.678240740737</v>
      </c>
      <c r="Q99" s="1" t="s">
        <v>361</v>
      </c>
    </row>
    <row r="100" spans="1:17" x14ac:dyDescent="0.25">
      <c r="A100" s="1" t="s">
        <v>22</v>
      </c>
      <c r="B100" s="1" t="s">
        <v>362</v>
      </c>
      <c r="C100" s="3">
        <v>48655977000173</v>
      </c>
      <c r="D100" s="1" t="s">
        <v>310</v>
      </c>
      <c r="E100" s="1"/>
      <c r="F100" s="4">
        <v>45643</v>
      </c>
      <c r="G100" s="1" t="s">
        <v>111</v>
      </c>
      <c r="H100" s="1" t="s">
        <v>87</v>
      </c>
      <c r="I100" s="1" t="s">
        <v>88</v>
      </c>
      <c r="J100" s="1" t="s">
        <v>112</v>
      </c>
      <c r="K100" s="1"/>
      <c r="L100" s="1" t="s">
        <v>113</v>
      </c>
      <c r="M100" s="1"/>
      <c r="N100" s="1"/>
      <c r="O100" s="1"/>
      <c r="P100" s="5">
        <v>45644.414548611108</v>
      </c>
      <c r="Q100" s="1" t="s">
        <v>363</v>
      </c>
    </row>
    <row r="101" spans="1:17" x14ac:dyDescent="0.25">
      <c r="A101" s="1" t="s">
        <v>22</v>
      </c>
      <c r="B101" s="1" t="s">
        <v>364</v>
      </c>
      <c r="C101" s="3">
        <v>26878984000100</v>
      </c>
      <c r="D101" s="1" t="s">
        <v>310</v>
      </c>
      <c r="E101" s="1"/>
      <c r="F101" s="4">
        <v>45643</v>
      </c>
      <c r="G101" s="1" t="s">
        <v>111</v>
      </c>
      <c r="H101" s="1" t="s">
        <v>87</v>
      </c>
      <c r="I101" s="1" t="s">
        <v>88</v>
      </c>
      <c r="J101" s="1" t="s">
        <v>112</v>
      </c>
      <c r="K101" s="1"/>
      <c r="L101" s="1" t="s">
        <v>113</v>
      </c>
      <c r="M101" s="1"/>
      <c r="N101" s="1"/>
      <c r="O101" s="1"/>
      <c r="P101" s="5">
        <v>45643.616168981483</v>
      </c>
      <c r="Q101" s="1" t="s">
        <v>365</v>
      </c>
    </row>
    <row r="102" spans="1:17" x14ac:dyDescent="0.25">
      <c r="A102" s="1" t="s">
        <v>22</v>
      </c>
      <c r="B102" s="1" t="s">
        <v>366</v>
      </c>
      <c r="C102" s="3">
        <v>26172387000157</v>
      </c>
      <c r="D102" s="1" t="s">
        <v>310</v>
      </c>
      <c r="E102" s="1"/>
      <c r="F102" s="4">
        <v>45643</v>
      </c>
      <c r="G102" s="1" t="s">
        <v>111</v>
      </c>
      <c r="H102" s="1" t="s">
        <v>67</v>
      </c>
      <c r="I102" s="1" t="s">
        <v>68</v>
      </c>
      <c r="J102" s="1" t="s">
        <v>112</v>
      </c>
      <c r="K102" s="1"/>
      <c r="L102" s="1" t="s">
        <v>113</v>
      </c>
      <c r="M102" s="1"/>
      <c r="N102" s="1"/>
      <c r="O102" s="1"/>
      <c r="P102" s="5">
        <v>45643.597812499997</v>
      </c>
      <c r="Q102" s="1" t="s">
        <v>367</v>
      </c>
    </row>
    <row r="103" spans="1:17" x14ac:dyDescent="0.25">
      <c r="A103" s="1" t="s">
        <v>22</v>
      </c>
      <c r="B103" s="1" t="s">
        <v>368</v>
      </c>
      <c r="C103" s="3">
        <v>42471505000184</v>
      </c>
      <c r="D103" s="1" t="s">
        <v>310</v>
      </c>
      <c r="E103" s="1"/>
      <c r="F103" s="4">
        <v>45643</v>
      </c>
      <c r="G103" s="1" t="s">
        <v>111</v>
      </c>
      <c r="H103" s="1" t="s">
        <v>67</v>
      </c>
      <c r="I103" s="1" t="s">
        <v>68</v>
      </c>
      <c r="J103" s="1" t="s">
        <v>112</v>
      </c>
      <c r="K103" s="1"/>
      <c r="L103" s="1" t="s">
        <v>113</v>
      </c>
      <c r="M103" s="1"/>
      <c r="N103" s="1"/>
      <c r="O103" s="1"/>
      <c r="P103" s="5">
        <v>45643.598136574074</v>
      </c>
      <c r="Q103" s="1" t="s">
        <v>369</v>
      </c>
    </row>
    <row r="104" spans="1:17" x14ac:dyDescent="0.25">
      <c r="A104" s="1" t="s">
        <v>22</v>
      </c>
      <c r="B104" s="1" t="s">
        <v>149</v>
      </c>
      <c r="C104" s="3">
        <v>46191316000109</v>
      </c>
      <c r="D104" s="1" t="s">
        <v>310</v>
      </c>
      <c r="E104" s="1"/>
      <c r="F104" s="4">
        <v>45643</v>
      </c>
      <c r="G104" s="1" t="s">
        <v>111</v>
      </c>
      <c r="H104" s="1" t="s">
        <v>67</v>
      </c>
      <c r="I104" s="1" t="s">
        <v>68</v>
      </c>
      <c r="J104" s="1" t="s">
        <v>120</v>
      </c>
      <c r="K104" s="1"/>
      <c r="L104" s="1" t="s">
        <v>113</v>
      </c>
      <c r="M104" s="1"/>
      <c r="N104" s="1"/>
      <c r="O104" s="1"/>
      <c r="P104" s="1"/>
      <c r="Q104" s="1"/>
    </row>
    <row r="105" spans="1:17" x14ac:dyDescent="0.25">
      <c r="A105" s="1" t="s">
        <v>22</v>
      </c>
      <c r="B105" s="1" t="s">
        <v>370</v>
      </c>
      <c r="C105" s="3">
        <v>6262799000170</v>
      </c>
      <c r="D105" s="1" t="s">
        <v>310</v>
      </c>
      <c r="E105" s="1"/>
      <c r="F105" s="4">
        <v>45643</v>
      </c>
      <c r="G105" s="1" t="s">
        <v>111</v>
      </c>
      <c r="H105" s="1" t="s">
        <v>67</v>
      </c>
      <c r="I105" s="1" t="s">
        <v>68</v>
      </c>
      <c r="J105" s="1" t="s">
        <v>112</v>
      </c>
      <c r="K105" s="1"/>
      <c r="L105" s="1" t="s">
        <v>113</v>
      </c>
      <c r="M105" s="1"/>
      <c r="N105" s="1"/>
      <c r="O105" s="1"/>
      <c r="P105" s="5">
        <v>45643.631238425929</v>
      </c>
      <c r="Q105" s="1" t="s">
        <v>371</v>
      </c>
    </row>
    <row r="106" spans="1:17" x14ac:dyDescent="0.25">
      <c r="A106" s="1" t="s">
        <v>22</v>
      </c>
      <c r="B106" s="1" t="s">
        <v>372</v>
      </c>
      <c r="C106" s="3">
        <v>3042533000124</v>
      </c>
      <c r="D106" s="1" t="s">
        <v>310</v>
      </c>
      <c r="E106" s="1"/>
      <c r="F106" s="4">
        <v>45643</v>
      </c>
      <c r="G106" s="1" t="s">
        <v>111</v>
      </c>
      <c r="H106" s="1" t="s">
        <v>67</v>
      </c>
      <c r="I106" s="1" t="s">
        <v>68</v>
      </c>
      <c r="J106" s="1" t="s">
        <v>112</v>
      </c>
      <c r="K106" s="1"/>
      <c r="L106" s="1" t="s">
        <v>113</v>
      </c>
      <c r="M106" s="1"/>
      <c r="N106" s="1"/>
      <c r="O106" s="1"/>
      <c r="P106" s="5">
        <v>45643.598564814813</v>
      </c>
      <c r="Q106" s="1" t="s">
        <v>373</v>
      </c>
    </row>
    <row r="107" spans="1:17" x14ac:dyDescent="0.25">
      <c r="A107" s="1" t="s">
        <v>22</v>
      </c>
      <c r="B107" s="1" t="s">
        <v>374</v>
      </c>
      <c r="C107" s="3">
        <v>7221051000192</v>
      </c>
      <c r="D107" s="1" t="s">
        <v>310</v>
      </c>
      <c r="E107" s="1"/>
      <c r="F107" s="4">
        <v>45643</v>
      </c>
      <c r="G107" s="1" t="s">
        <v>111</v>
      </c>
      <c r="H107" s="1" t="s">
        <v>67</v>
      </c>
      <c r="I107" s="1" t="s">
        <v>68</v>
      </c>
      <c r="J107" s="1" t="s">
        <v>112</v>
      </c>
      <c r="K107" s="1"/>
      <c r="L107" s="1" t="s">
        <v>113</v>
      </c>
      <c r="M107" s="1"/>
      <c r="N107" s="1"/>
      <c r="O107" s="1"/>
      <c r="P107" s="5">
        <v>45685.533125000002</v>
      </c>
      <c r="Q107" s="1" t="s">
        <v>375</v>
      </c>
    </row>
    <row r="108" spans="1:17" x14ac:dyDescent="0.25">
      <c r="A108" s="1" t="s">
        <v>22</v>
      </c>
      <c r="B108" s="1" t="s">
        <v>376</v>
      </c>
      <c r="C108" s="3">
        <v>10705907000100</v>
      </c>
      <c r="D108" s="1" t="s">
        <v>310</v>
      </c>
      <c r="E108" s="1"/>
      <c r="F108" s="4">
        <v>45644</v>
      </c>
      <c r="G108" s="1" t="s">
        <v>111</v>
      </c>
      <c r="H108" s="1" t="s">
        <v>67</v>
      </c>
      <c r="I108" s="1" t="s">
        <v>68</v>
      </c>
      <c r="J108" s="1" t="s">
        <v>112</v>
      </c>
      <c r="K108" s="1"/>
      <c r="L108" s="1" t="s">
        <v>113</v>
      </c>
      <c r="M108" s="1"/>
      <c r="N108" s="1"/>
      <c r="O108" s="1"/>
      <c r="P108" s="5">
        <v>45644.401967592596</v>
      </c>
      <c r="Q108" s="1" t="s">
        <v>377</v>
      </c>
    </row>
    <row r="109" spans="1:17" x14ac:dyDescent="0.25">
      <c r="A109" s="1" t="s">
        <v>22</v>
      </c>
      <c r="B109" s="1" t="s">
        <v>378</v>
      </c>
      <c r="C109" s="3">
        <v>40408094000157</v>
      </c>
      <c r="D109" s="1" t="s">
        <v>310</v>
      </c>
      <c r="E109" s="1"/>
      <c r="F109" s="4">
        <v>45643</v>
      </c>
      <c r="G109" s="1" t="s">
        <v>111</v>
      </c>
      <c r="H109" s="1" t="s">
        <v>67</v>
      </c>
      <c r="I109" s="1" t="s">
        <v>68</v>
      </c>
      <c r="J109" s="1" t="s">
        <v>112</v>
      </c>
      <c r="K109" s="1"/>
      <c r="L109" s="1" t="s">
        <v>113</v>
      </c>
      <c r="M109" s="1"/>
      <c r="N109" s="1"/>
      <c r="O109" s="1"/>
      <c r="P109" s="5">
        <v>45643.598946759259</v>
      </c>
      <c r="Q109" s="1" t="s">
        <v>379</v>
      </c>
    </row>
    <row r="110" spans="1:17" x14ac:dyDescent="0.25">
      <c r="A110" s="1" t="s">
        <v>22</v>
      </c>
      <c r="B110" s="1" t="s">
        <v>380</v>
      </c>
      <c r="C110" s="3">
        <v>30299420000181</v>
      </c>
      <c r="D110" s="1" t="s">
        <v>310</v>
      </c>
      <c r="E110" s="1"/>
      <c r="F110" s="4">
        <v>45643</v>
      </c>
      <c r="G110" s="1" t="s">
        <v>111</v>
      </c>
      <c r="H110" s="1" t="s">
        <v>67</v>
      </c>
      <c r="I110" s="1" t="s">
        <v>68</v>
      </c>
      <c r="J110" s="1" t="s">
        <v>112</v>
      </c>
      <c r="K110" s="1"/>
      <c r="L110" s="1" t="s">
        <v>113</v>
      </c>
      <c r="M110" s="1"/>
      <c r="N110" s="1"/>
      <c r="O110" s="1"/>
      <c r="P110" s="5">
        <v>45693.695729166669</v>
      </c>
      <c r="Q110" s="1" t="s">
        <v>381</v>
      </c>
    </row>
    <row r="111" spans="1:17" x14ac:dyDescent="0.25">
      <c r="A111" s="1" t="s">
        <v>22</v>
      </c>
      <c r="B111" s="1" t="s">
        <v>382</v>
      </c>
      <c r="C111" s="3">
        <v>7223207000174</v>
      </c>
      <c r="D111" s="1" t="s">
        <v>310</v>
      </c>
      <c r="E111" s="1"/>
      <c r="F111" s="4">
        <v>45643</v>
      </c>
      <c r="G111" s="1" t="s">
        <v>111</v>
      </c>
      <c r="H111" s="1" t="s">
        <v>67</v>
      </c>
      <c r="I111" s="1" t="s">
        <v>68</v>
      </c>
      <c r="J111" s="1" t="s">
        <v>112</v>
      </c>
      <c r="K111" s="1"/>
      <c r="L111" s="1" t="s">
        <v>113</v>
      </c>
      <c r="M111" s="1"/>
      <c r="N111" s="1"/>
      <c r="O111" s="1"/>
      <c r="P111" s="5">
        <v>45643.656724537039</v>
      </c>
      <c r="Q111" s="1" t="s">
        <v>383</v>
      </c>
    </row>
    <row r="112" spans="1:17" x14ac:dyDescent="0.25">
      <c r="A112" s="1" t="s">
        <v>22</v>
      </c>
      <c r="B112" s="1" t="s">
        <v>384</v>
      </c>
      <c r="C112" s="3">
        <v>2152065000188</v>
      </c>
      <c r="D112" s="1" t="s">
        <v>385</v>
      </c>
      <c r="E112" s="1"/>
      <c r="F112" s="4">
        <v>45801</v>
      </c>
      <c r="G112" s="1" t="s">
        <v>111</v>
      </c>
      <c r="H112" s="1" t="s">
        <v>67</v>
      </c>
      <c r="I112" s="1" t="s">
        <v>68</v>
      </c>
      <c r="J112" s="1" t="s">
        <v>112</v>
      </c>
      <c r="K112" s="1"/>
      <c r="L112" s="1" t="s">
        <v>113</v>
      </c>
      <c r="M112" s="1"/>
      <c r="N112" s="1"/>
      <c r="O112" s="1"/>
      <c r="P112" s="5">
        <v>45801.388703703706</v>
      </c>
      <c r="Q112" s="1" t="s">
        <v>386</v>
      </c>
    </row>
    <row r="113" spans="1:17" x14ac:dyDescent="0.25">
      <c r="A113" s="1" t="s">
        <v>22</v>
      </c>
      <c r="B113" s="1" t="s">
        <v>387</v>
      </c>
      <c r="C113" s="3">
        <v>8188721000189</v>
      </c>
      <c r="D113" s="1" t="s">
        <v>310</v>
      </c>
      <c r="E113" s="1"/>
      <c r="F113" s="4">
        <v>45643</v>
      </c>
      <c r="G113" s="1" t="s">
        <v>111</v>
      </c>
      <c r="H113" s="1" t="s">
        <v>118</v>
      </c>
      <c r="I113" s="1" t="s">
        <v>119</v>
      </c>
      <c r="J113" s="1" t="s">
        <v>112</v>
      </c>
      <c r="K113" s="1"/>
      <c r="L113" s="1" t="s">
        <v>113</v>
      </c>
      <c r="M113" s="1"/>
      <c r="N113" s="1"/>
      <c r="O113" s="1"/>
      <c r="P113" s="5">
        <v>45643.667430555557</v>
      </c>
      <c r="Q113" s="1" t="s">
        <v>388</v>
      </c>
    </row>
    <row r="114" spans="1:17" x14ac:dyDescent="0.25">
      <c r="A114" s="1" t="s">
        <v>22</v>
      </c>
      <c r="B114" s="1" t="s">
        <v>389</v>
      </c>
      <c r="C114" s="3">
        <v>15472303000184</v>
      </c>
      <c r="D114" s="1" t="s">
        <v>310</v>
      </c>
      <c r="E114" s="1"/>
      <c r="F114" s="4">
        <v>45643</v>
      </c>
      <c r="G114" s="1" t="s">
        <v>111</v>
      </c>
      <c r="H114" s="1" t="s">
        <v>67</v>
      </c>
      <c r="I114" s="1" t="s">
        <v>68</v>
      </c>
      <c r="J114" s="1" t="s">
        <v>112</v>
      </c>
      <c r="K114" s="1"/>
      <c r="L114" s="1" t="s">
        <v>113</v>
      </c>
      <c r="M114" s="1"/>
      <c r="N114" s="1"/>
      <c r="O114" s="1"/>
      <c r="P114" s="5">
        <v>45643.599293981482</v>
      </c>
      <c r="Q114" s="1" t="s">
        <v>390</v>
      </c>
    </row>
    <row r="115" spans="1:17" x14ac:dyDescent="0.25">
      <c r="A115" s="1" t="s">
        <v>22</v>
      </c>
      <c r="B115" s="1" t="s">
        <v>391</v>
      </c>
      <c r="C115" s="3">
        <v>36413822000141</v>
      </c>
      <c r="D115" s="1" t="s">
        <v>310</v>
      </c>
      <c r="E115" s="1"/>
      <c r="F115" s="4">
        <v>45643</v>
      </c>
      <c r="G115" s="1" t="s">
        <v>111</v>
      </c>
      <c r="H115" s="1" t="s">
        <v>67</v>
      </c>
      <c r="I115" s="1" t="s">
        <v>68</v>
      </c>
      <c r="J115" s="1" t="s">
        <v>112</v>
      </c>
      <c r="K115" s="1"/>
      <c r="L115" s="1" t="s">
        <v>113</v>
      </c>
      <c r="M115" s="1"/>
      <c r="N115" s="1"/>
      <c r="O115" s="1"/>
      <c r="P115" s="5">
        <v>45643.667812500003</v>
      </c>
      <c r="Q115" s="1" t="s">
        <v>392</v>
      </c>
    </row>
    <row r="116" spans="1:17" x14ac:dyDescent="0.25">
      <c r="A116" s="1" t="s">
        <v>22</v>
      </c>
      <c r="B116" s="1" t="s">
        <v>393</v>
      </c>
      <c r="C116" s="3">
        <v>20607770000104</v>
      </c>
      <c r="D116" s="1" t="s">
        <v>310</v>
      </c>
      <c r="E116" s="1"/>
      <c r="F116" s="4">
        <v>45644</v>
      </c>
      <c r="G116" s="1" t="s">
        <v>111</v>
      </c>
      <c r="H116" s="1" t="s">
        <v>67</v>
      </c>
      <c r="I116" s="1" t="s">
        <v>68</v>
      </c>
      <c r="J116" s="1" t="s">
        <v>112</v>
      </c>
      <c r="K116" s="1"/>
      <c r="L116" s="1" t="s">
        <v>113</v>
      </c>
      <c r="M116" s="1"/>
      <c r="N116" s="1"/>
      <c r="O116" s="1"/>
      <c r="P116" s="5">
        <v>45644.406064814815</v>
      </c>
      <c r="Q116" s="1" t="s">
        <v>394</v>
      </c>
    </row>
    <row r="117" spans="1:17" x14ac:dyDescent="0.25">
      <c r="A117" s="1" t="s">
        <v>22</v>
      </c>
      <c r="B117" s="1" t="s">
        <v>395</v>
      </c>
      <c r="C117" s="3">
        <v>9017380000141</v>
      </c>
      <c r="D117" s="1" t="s">
        <v>310</v>
      </c>
      <c r="E117" s="1"/>
      <c r="F117" s="4">
        <v>45644</v>
      </c>
      <c r="G117" s="1" t="s">
        <v>111</v>
      </c>
      <c r="H117" s="1" t="s">
        <v>67</v>
      </c>
      <c r="I117" s="1" t="s">
        <v>68</v>
      </c>
      <c r="J117" s="1" t="s">
        <v>112</v>
      </c>
      <c r="K117" s="1"/>
      <c r="L117" s="1" t="s">
        <v>113</v>
      </c>
      <c r="M117" s="1"/>
      <c r="N117" s="1"/>
      <c r="O117" s="1"/>
      <c r="P117" s="5">
        <v>45644.516597222224</v>
      </c>
      <c r="Q117" s="1" t="s">
        <v>396</v>
      </c>
    </row>
    <row r="118" spans="1:17" x14ac:dyDescent="0.25">
      <c r="A118" s="1" t="s">
        <v>22</v>
      </c>
      <c r="B118" s="1" t="s">
        <v>397</v>
      </c>
      <c r="C118" s="3">
        <v>6262839000184</v>
      </c>
      <c r="D118" s="1" t="s">
        <v>310</v>
      </c>
      <c r="E118" s="1"/>
      <c r="F118" s="4">
        <v>45643</v>
      </c>
      <c r="G118" s="1" t="s">
        <v>111</v>
      </c>
      <c r="H118" s="1" t="s">
        <v>67</v>
      </c>
      <c r="I118" s="1" t="s">
        <v>68</v>
      </c>
      <c r="J118" s="1" t="s">
        <v>112</v>
      </c>
      <c r="K118" s="1"/>
      <c r="L118" s="1" t="s">
        <v>113</v>
      </c>
      <c r="M118" s="1"/>
      <c r="N118" s="1"/>
      <c r="O118" s="1"/>
      <c r="P118" s="5">
        <v>45643.669768518521</v>
      </c>
      <c r="Q118" s="1" t="s">
        <v>398</v>
      </c>
    </row>
    <row r="119" spans="1:17" x14ac:dyDescent="0.25">
      <c r="A119" s="1" t="s">
        <v>22</v>
      </c>
      <c r="B119" s="1" t="s">
        <v>399</v>
      </c>
      <c r="C119" s="3">
        <v>5542545000143</v>
      </c>
      <c r="D119" s="1" t="s">
        <v>310</v>
      </c>
      <c r="E119" s="1"/>
      <c r="F119" s="4">
        <v>45643</v>
      </c>
      <c r="G119" s="1" t="s">
        <v>111</v>
      </c>
      <c r="H119" s="1" t="s">
        <v>67</v>
      </c>
      <c r="I119" s="1" t="s">
        <v>68</v>
      </c>
      <c r="J119" s="1" t="s">
        <v>112</v>
      </c>
      <c r="K119" s="1"/>
      <c r="L119" s="1" t="s">
        <v>113</v>
      </c>
      <c r="M119" s="1"/>
      <c r="N119" s="1"/>
      <c r="O119" s="1"/>
      <c r="P119" s="5">
        <v>45643.599756944444</v>
      </c>
      <c r="Q119" s="1" t="s">
        <v>400</v>
      </c>
    </row>
    <row r="120" spans="1:17" x14ac:dyDescent="0.25">
      <c r="A120" s="1" t="s">
        <v>22</v>
      </c>
      <c r="B120" s="1" t="s">
        <v>401</v>
      </c>
      <c r="C120" s="3">
        <v>3620164000100</v>
      </c>
      <c r="D120" s="1" t="s">
        <v>310</v>
      </c>
      <c r="E120" s="1"/>
      <c r="F120" s="4">
        <v>45644</v>
      </c>
      <c r="G120" s="1" t="s">
        <v>111</v>
      </c>
      <c r="H120" s="1" t="s">
        <v>67</v>
      </c>
      <c r="I120" s="1" t="s">
        <v>68</v>
      </c>
      <c r="J120" s="1" t="s">
        <v>112</v>
      </c>
      <c r="K120" s="1"/>
      <c r="L120" s="1" t="s">
        <v>113</v>
      </c>
      <c r="M120" s="1"/>
      <c r="N120" s="1"/>
      <c r="O120" s="1"/>
      <c r="P120" s="5">
        <v>45665.393506944441</v>
      </c>
      <c r="Q120" s="1" t="s">
        <v>402</v>
      </c>
    </row>
    <row r="121" spans="1:17" x14ac:dyDescent="0.25">
      <c r="A121" s="1" t="s">
        <v>22</v>
      </c>
      <c r="B121" s="1" t="s">
        <v>403</v>
      </c>
      <c r="C121" s="3">
        <v>6246658000164</v>
      </c>
      <c r="D121" s="1" t="s">
        <v>310</v>
      </c>
      <c r="E121" s="1"/>
      <c r="F121" s="4">
        <v>45643</v>
      </c>
      <c r="G121" s="1" t="s">
        <v>111</v>
      </c>
      <c r="H121" s="1" t="s">
        <v>67</v>
      </c>
      <c r="I121" s="1" t="s">
        <v>68</v>
      </c>
      <c r="J121" s="1" t="s">
        <v>112</v>
      </c>
      <c r="K121" s="1"/>
      <c r="L121" s="1" t="s">
        <v>113</v>
      </c>
      <c r="M121" s="1"/>
      <c r="N121" s="1"/>
      <c r="O121" s="1"/>
      <c r="P121" s="5">
        <v>45643.670543981483</v>
      </c>
      <c r="Q121" s="1" t="s">
        <v>404</v>
      </c>
    </row>
    <row r="122" spans="1:17" x14ac:dyDescent="0.25">
      <c r="A122" s="1" t="s">
        <v>22</v>
      </c>
      <c r="B122" s="1" t="s">
        <v>405</v>
      </c>
      <c r="C122" s="3">
        <v>6150039000171</v>
      </c>
      <c r="D122" s="1" t="s">
        <v>310</v>
      </c>
      <c r="E122" s="1"/>
      <c r="F122" s="4">
        <v>45643</v>
      </c>
      <c r="G122" s="1" t="s">
        <v>111</v>
      </c>
      <c r="H122" s="1" t="s">
        <v>67</v>
      </c>
      <c r="I122" s="1" t="s">
        <v>68</v>
      </c>
      <c r="J122" s="1" t="s">
        <v>112</v>
      </c>
      <c r="K122" s="1"/>
      <c r="L122" s="1" t="s">
        <v>113</v>
      </c>
      <c r="M122" s="1"/>
      <c r="N122" s="1"/>
      <c r="O122" s="1"/>
      <c r="P122" s="5">
        <v>45643.67082175926</v>
      </c>
      <c r="Q122" s="1" t="s">
        <v>406</v>
      </c>
    </row>
    <row r="123" spans="1:17" x14ac:dyDescent="0.25">
      <c r="A123" s="1" t="s">
        <v>22</v>
      </c>
      <c r="B123" s="1" t="s">
        <v>407</v>
      </c>
      <c r="C123" s="3">
        <v>32928977000160</v>
      </c>
      <c r="D123" s="1" t="s">
        <v>310</v>
      </c>
      <c r="E123" s="1"/>
      <c r="F123" s="4">
        <v>45643</v>
      </c>
      <c r="G123" s="1" t="s">
        <v>111</v>
      </c>
      <c r="H123" s="1" t="s">
        <v>87</v>
      </c>
      <c r="I123" s="1" t="s">
        <v>88</v>
      </c>
      <c r="J123" s="1" t="s">
        <v>112</v>
      </c>
      <c r="K123" s="1"/>
      <c r="L123" s="1" t="s">
        <v>113</v>
      </c>
      <c r="M123" s="1"/>
      <c r="N123" s="1"/>
      <c r="O123" s="1"/>
      <c r="P123" s="5">
        <v>45643.600185185183</v>
      </c>
      <c r="Q123" s="1" t="s">
        <v>408</v>
      </c>
    </row>
    <row r="124" spans="1:17" x14ac:dyDescent="0.25">
      <c r="A124" s="1" t="s">
        <v>22</v>
      </c>
      <c r="B124" s="1" t="s">
        <v>409</v>
      </c>
      <c r="C124" s="3">
        <v>20695882000164</v>
      </c>
      <c r="D124" s="1" t="s">
        <v>310</v>
      </c>
      <c r="E124" s="1"/>
      <c r="F124" s="4">
        <v>45643</v>
      </c>
      <c r="G124" s="1" t="s">
        <v>111</v>
      </c>
      <c r="H124" s="1" t="s">
        <v>87</v>
      </c>
      <c r="I124" s="1" t="s">
        <v>88</v>
      </c>
      <c r="J124" s="1" t="s">
        <v>112</v>
      </c>
      <c r="K124" s="1"/>
      <c r="L124" s="1" t="s">
        <v>113</v>
      </c>
      <c r="M124" s="1"/>
      <c r="N124" s="1"/>
      <c r="O124" s="1"/>
      <c r="P124" s="5">
        <v>45643.671689814815</v>
      </c>
      <c r="Q124" s="1" t="s">
        <v>410</v>
      </c>
    </row>
    <row r="125" spans="1:17" x14ac:dyDescent="0.25">
      <c r="A125" s="1" t="s">
        <v>22</v>
      </c>
      <c r="B125" s="1" t="s">
        <v>411</v>
      </c>
      <c r="C125" s="3">
        <v>6262881000103</v>
      </c>
      <c r="D125" s="1" t="s">
        <v>310</v>
      </c>
      <c r="E125" s="1"/>
      <c r="F125" s="4">
        <v>45643</v>
      </c>
      <c r="G125" s="1" t="s">
        <v>111</v>
      </c>
      <c r="H125" s="1" t="s">
        <v>87</v>
      </c>
      <c r="I125" s="1" t="s">
        <v>88</v>
      </c>
      <c r="J125" s="1" t="s">
        <v>112</v>
      </c>
      <c r="K125" s="1"/>
      <c r="L125" s="1" t="s">
        <v>113</v>
      </c>
      <c r="M125" s="1"/>
      <c r="N125" s="1"/>
      <c r="O125" s="1"/>
      <c r="P125" s="5">
        <v>45643.671134259261</v>
      </c>
      <c r="Q125" s="1" t="s">
        <v>412</v>
      </c>
    </row>
    <row r="126" spans="1:17" x14ac:dyDescent="0.25">
      <c r="A126" s="1" t="s">
        <v>22</v>
      </c>
      <c r="B126" s="1" t="s">
        <v>413</v>
      </c>
      <c r="C126" s="3">
        <v>6370665000173</v>
      </c>
      <c r="D126" s="1" t="s">
        <v>310</v>
      </c>
      <c r="E126" s="1"/>
      <c r="F126" s="4">
        <v>45643</v>
      </c>
      <c r="G126" s="1" t="s">
        <v>111</v>
      </c>
      <c r="H126" s="1" t="s">
        <v>67</v>
      </c>
      <c r="I126" s="1" t="s">
        <v>68</v>
      </c>
      <c r="J126" s="1" t="s">
        <v>112</v>
      </c>
      <c r="K126" s="1"/>
      <c r="L126" s="1" t="s">
        <v>113</v>
      </c>
      <c r="M126" s="1"/>
      <c r="N126" s="1"/>
      <c r="O126" s="1"/>
      <c r="P126" s="5">
        <v>45643.672037037039</v>
      </c>
      <c r="Q126" s="1" t="s">
        <v>414</v>
      </c>
    </row>
    <row r="127" spans="1:17" x14ac:dyDescent="0.25">
      <c r="A127" s="1" t="s">
        <v>22</v>
      </c>
      <c r="B127" s="1" t="s">
        <v>415</v>
      </c>
      <c r="C127" s="3">
        <v>15163386000120</v>
      </c>
      <c r="D127" s="1" t="s">
        <v>310</v>
      </c>
      <c r="E127" s="1"/>
      <c r="F127" s="4">
        <v>45643</v>
      </c>
      <c r="G127" s="1" t="s">
        <v>111</v>
      </c>
      <c r="H127" s="1" t="s">
        <v>67</v>
      </c>
      <c r="I127" s="1" t="s">
        <v>68</v>
      </c>
      <c r="J127" s="1" t="s">
        <v>112</v>
      </c>
      <c r="K127" s="1"/>
      <c r="L127" s="1" t="s">
        <v>113</v>
      </c>
      <c r="M127" s="1"/>
      <c r="N127" s="1"/>
      <c r="O127" s="1"/>
      <c r="P127" s="5">
        <v>45643.672361111108</v>
      </c>
      <c r="Q127" s="1" t="s">
        <v>416</v>
      </c>
    </row>
    <row r="128" spans="1:17" x14ac:dyDescent="0.25">
      <c r="A128" s="1" t="s">
        <v>22</v>
      </c>
      <c r="B128" s="1" t="s">
        <v>417</v>
      </c>
      <c r="C128" s="3">
        <v>7252628000123</v>
      </c>
      <c r="D128" s="1" t="s">
        <v>310</v>
      </c>
      <c r="E128" s="1"/>
      <c r="F128" s="4">
        <v>45643</v>
      </c>
      <c r="G128" s="1" t="s">
        <v>111</v>
      </c>
      <c r="H128" s="1" t="s">
        <v>67</v>
      </c>
      <c r="I128" s="1" t="s">
        <v>68</v>
      </c>
      <c r="J128" s="1" t="s">
        <v>112</v>
      </c>
      <c r="K128" s="1"/>
      <c r="L128" s="1" t="s">
        <v>113</v>
      </c>
      <c r="M128" s="1"/>
      <c r="N128" s="1"/>
      <c r="O128" s="1"/>
      <c r="P128" s="5">
        <v>45643.672650462962</v>
      </c>
      <c r="Q128" s="1" t="s">
        <v>418</v>
      </c>
    </row>
    <row r="129" spans="1:17" x14ac:dyDescent="0.25">
      <c r="A129" s="1" t="s">
        <v>22</v>
      </c>
      <c r="B129" s="1" t="s">
        <v>419</v>
      </c>
      <c r="C129" s="3">
        <v>6789334000172</v>
      </c>
      <c r="D129" s="1" t="s">
        <v>310</v>
      </c>
      <c r="E129" s="1"/>
      <c r="F129" s="4">
        <v>45643</v>
      </c>
      <c r="G129" s="1" t="s">
        <v>111</v>
      </c>
      <c r="H129" s="1" t="s">
        <v>87</v>
      </c>
      <c r="I129" s="1" t="s">
        <v>88</v>
      </c>
      <c r="J129" s="1" t="s">
        <v>112</v>
      </c>
      <c r="K129" s="1"/>
      <c r="L129" s="1" t="s">
        <v>113</v>
      </c>
      <c r="M129" s="1"/>
      <c r="N129" s="1"/>
      <c r="O129" s="1"/>
      <c r="P129" s="5">
        <v>45643.671412037038</v>
      </c>
      <c r="Q129" s="1" t="s">
        <v>420</v>
      </c>
    </row>
    <row r="130" spans="1:17" x14ac:dyDescent="0.25">
      <c r="A130" s="1" t="s">
        <v>22</v>
      </c>
      <c r="B130" s="1" t="s">
        <v>421</v>
      </c>
      <c r="C130" s="3">
        <v>11687644000116</v>
      </c>
      <c r="D130" s="1" t="s">
        <v>310</v>
      </c>
      <c r="E130" s="1"/>
      <c r="F130" s="4">
        <v>45643</v>
      </c>
      <c r="G130" s="1" t="s">
        <v>111</v>
      </c>
      <c r="H130" s="1" t="s">
        <v>67</v>
      </c>
      <c r="I130" s="1" t="s">
        <v>68</v>
      </c>
      <c r="J130" s="1" t="s">
        <v>112</v>
      </c>
      <c r="K130" s="1"/>
      <c r="L130" s="1" t="s">
        <v>113</v>
      </c>
      <c r="M130" s="1"/>
      <c r="N130" s="1"/>
      <c r="O130" s="1"/>
      <c r="P130" s="5">
        <v>45665.376018518517</v>
      </c>
      <c r="Q130" s="1" t="s">
        <v>422</v>
      </c>
    </row>
    <row r="131" spans="1:17" x14ac:dyDescent="0.25">
      <c r="A131" s="1" t="s">
        <v>22</v>
      </c>
      <c r="B131" s="1" t="s">
        <v>423</v>
      </c>
      <c r="C131" s="3">
        <v>6288099000155</v>
      </c>
      <c r="D131" s="1" t="s">
        <v>310</v>
      </c>
      <c r="E131" s="1"/>
      <c r="F131" s="4">
        <v>45644</v>
      </c>
      <c r="G131" s="1" t="s">
        <v>111</v>
      </c>
      <c r="H131" s="1" t="s">
        <v>67</v>
      </c>
      <c r="I131" s="1" t="s">
        <v>68</v>
      </c>
      <c r="J131" s="1" t="s">
        <v>112</v>
      </c>
      <c r="K131" s="1"/>
      <c r="L131" s="1" t="s">
        <v>113</v>
      </c>
      <c r="M131" s="1"/>
      <c r="N131" s="1"/>
      <c r="O131" s="1"/>
      <c r="P131" s="5">
        <v>45644.517314814817</v>
      </c>
      <c r="Q131" s="1" t="s">
        <v>424</v>
      </c>
    </row>
    <row r="132" spans="1:17" x14ac:dyDescent="0.25">
      <c r="A132" s="1" t="s">
        <v>22</v>
      </c>
      <c r="B132" s="1" t="s">
        <v>425</v>
      </c>
      <c r="C132" s="3">
        <v>6285864000183</v>
      </c>
      <c r="D132" s="1" t="s">
        <v>310</v>
      </c>
      <c r="E132" s="1"/>
      <c r="F132" s="4">
        <v>45643</v>
      </c>
      <c r="G132" s="1" t="s">
        <v>111</v>
      </c>
      <c r="H132" s="1" t="s">
        <v>67</v>
      </c>
      <c r="I132" s="1" t="s">
        <v>68</v>
      </c>
      <c r="J132" s="1" t="s">
        <v>112</v>
      </c>
      <c r="K132" s="1"/>
      <c r="L132" s="1" t="s">
        <v>113</v>
      </c>
      <c r="M132" s="1"/>
      <c r="N132" s="1"/>
      <c r="O132" s="1"/>
      <c r="P132" s="5">
        <v>45643.697175925925</v>
      </c>
      <c r="Q132" s="1" t="s">
        <v>426</v>
      </c>
    </row>
    <row r="133" spans="1:17" x14ac:dyDescent="0.25">
      <c r="A133" s="1" t="s">
        <v>22</v>
      </c>
      <c r="B133" s="1" t="s">
        <v>427</v>
      </c>
      <c r="C133" s="3">
        <v>6282962000167</v>
      </c>
      <c r="D133" s="1" t="s">
        <v>310</v>
      </c>
      <c r="E133" s="1"/>
      <c r="F133" s="4">
        <v>45643</v>
      </c>
      <c r="G133" s="1" t="s">
        <v>111</v>
      </c>
      <c r="H133" s="1" t="s">
        <v>67</v>
      </c>
      <c r="I133" s="1" t="s">
        <v>68</v>
      </c>
      <c r="J133" s="1" t="s">
        <v>112</v>
      </c>
      <c r="K133" s="1"/>
      <c r="L133" s="1" t="s">
        <v>113</v>
      </c>
      <c r="M133" s="1"/>
      <c r="N133" s="1"/>
      <c r="O133" s="1"/>
      <c r="P133" s="5">
        <v>45649.709618055553</v>
      </c>
      <c r="Q133" s="1" t="s">
        <v>428</v>
      </c>
    </row>
    <row r="134" spans="1:17" x14ac:dyDescent="0.25">
      <c r="A134" s="1" t="s">
        <v>22</v>
      </c>
      <c r="B134" s="1" t="s">
        <v>429</v>
      </c>
      <c r="C134" s="3">
        <v>39252217000124</v>
      </c>
      <c r="D134" s="1" t="s">
        <v>310</v>
      </c>
      <c r="E134" s="1"/>
      <c r="F134" s="4">
        <v>45643</v>
      </c>
      <c r="G134" s="1" t="s">
        <v>111</v>
      </c>
      <c r="H134" s="1" t="s">
        <v>67</v>
      </c>
      <c r="I134" s="1" t="s">
        <v>68</v>
      </c>
      <c r="J134" s="1" t="s">
        <v>112</v>
      </c>
      <c r="K134" s="1"/>
      <c r="L134" s="1" t="s">
        <v>113</v>
      </c>
      <c r="M134" s="1"/>
      <c r="N134" s="1"/>
      <c r="O134" s="1"/>
      <c r="P134" s="5">
        <v>45643.673680555556</v>
      </c>
      <c r="Q134" s="1" t="s">
        <v>430</v>
      </c>
    </row>
    <row r="135" spans="1:17" x14ac:dyDescent="0.25">
      <c r="A135" s="1" t="s">
        <v>22</v>
      </c>
      <c r="B135" s="1" t="s">
        <v>431</v>
      </c>
      <c r="C135" s="3">
        <v>6234842000194</v>
      </c>
      <c r="D135" s="1" t="s">
        <v>310</v>
      </c>
      <c r="E135" s="1"/>
      <c r="F135" s="4">
        <v>45643</v>
      </c>
      <c r="G135" s="1" t="s">
        <v>111</v>
      </c>
      <c r="H135" s="1" t="s">
        <v>67</v>
      </c>
      <c r="I135" s="1" t="s">
        <v>68</v>
      </c>
      <c r="J135" s="1" t="s">
        <v>112</v>
      </c>
      <c r="K135" s="1"/>
      <c r="L135" s="1" t="s">
        <v>113</v>
      </c>
      <c r="M135" s="1"/>
      <c r="N135" s="1"/>
      <c r="O135" s="1"/>
      <c r="P135" s="5">
        <v>45721.738333333335</v>
      </c>
      <c r="Q135" s="1" t="s">
        <v>432</v>
      </c>
    </row>
    <row r="136" spans="1:17" x14ac:dyDescent="0.25">
      <c r="A136" s="1" t="s">
        <v>22</v>
      </c>
      <c r="B136" s="1" t="s">
        <v>433</v>
      </c>
      <c r="C136" s="3">
        <v>1571006000181</v>
      </c>
      <c r="D136" s="1" t="s">
        <v>310</v>
      </c>
      <c r="E136" s="1"/>
      <c r="F136" s="4">
        <v>45643</v>
      </c>
      <c r="G136" s="1" t="s">
        <v>111</v>
      </c>
      <c r="H136" s="1" t="s">
        <v>67</v>
      </c>
      <c r="I136" s="1" t="s">
        <v>68</v>
      </c>
      <c r="J136" s="1" t="s">
        <v>112</v>
      </c>
      <c r="K136" s="1"/>
      <c r="L136" s="1" t="s">
        <v>113</v>
      </c>
      <c r="M136" s="1"/>
      <c r="N136" s="1"/>
      <c r="O136" s="1"/>
      <c r="P136" s="5">
        <v>45652.673009259262</v>
      </c>
      <c r="Q136" s="1" t="s">
        <v>434</v>
      </c>
    </row>
    <row r="137" spans="1:17" x14ac:dyDescent="0.25">
      <c r="A137" s="1" t="s">
        <v>22</v>
      </c>
      <c r="B137" s="1" t="s">
        <v>435</v>
      </c>
      <c r="C137" s="3">
        <v>7045981000132</v>
      </c>
      <c r="D137" s="1" t="s">
        <v>310</v>
      </c>
      <c r="E137" s="1"/>
      <c r="F137" s="4">
        <v>45643</v>
      </c>
      <c r="G137" s="1" t="s">
        <v>111</v>
      </c>
      <c r="H137" s="1" t="s">
        <v>67</v>
      </c>
      <c r="I137" s="1" t="s">
        <v>68</v>
      </c>
      <c r="J137" s="1" t="s">
        <v>112</v>
      </c>
      <c r="K137" s="1"/>
      <c r="L137" s="1" t="s">
        <v>113</v>
      </c>
      <c r="M137" s="1"/>
      <c r="N137" s="1"/>
      <c r="O137" s="1"/>
      <c r="P137" s="5">
        <v>45643.67459490741</v>
      </c>
      <c r="Q137" s="1" t="s">
        <v>436</v>
      </c>
    </row>
    <row r="138" spans="1:17" x14ac:dyDescent="0.25">
      <c r="A138" s="1" t="s">
        <v>22</v>
      </c>
      <c r="B138" s="1" t="s">
        <v>437</v>
      </c>
      <c r="C138" s="3">
        <v>49727248000148</v>
      </c>
      <c r="D138" s="1" t="s">
        <v>310</v>
      </c>
      <c r="E138" s="1"/>
      <c r="F138" s="4">
        <v>45643</v>
      </c>
      <c r="G138" s="1" t="s">
        <v>111</v>
      </c>
      <c r="H138" s="1" t="s">
        <v>67</v>
      </c>
      <c r="I138" s="1" t="s">
        <v>68</v>
      </c>
      <c r="J138" s="1" t="s">
        <v>112</v>
      </c>
      <c r="K138" s="1"/>
      <c r="L138" s="1" t="s">
        <v>113</v>
      </c>
      <c r="M138" s="1"/>
      <c r="N138" s="1"/>
      <c r="O138" s="1"/>
      <c r="P138" s="5">
        <v>45644.511261574073</v>
      </c>
      <c r="Q138" s="1" t="s">
        <v>438</v>
      </c>
    </row>
    <row r="139" spans="1:17" x14ac:dyDescent="0.25">
      <c r="A139" s="1" t="s">
        <v>22</v>
      </c>
      <c r="B139" s="1" t="s">
        <v>151</v>
      </c>
      <c r="C139" s="3">
        <v>1934441000123</v>
      </c>
      <c r="D139" s="1" t="s">
        <v>310</v>
      </c>
      <c r="E139" s="1"/>
      <c r="F139" s="4">
        <v>45643</v>
      </c>
      <c r="G139" s="1" t="s">
        <v>111</v>
      </c>
      <c r="H139" s="1" t="s">
        <v>118</v>
      </c>
      <c r="I139" s="1" t="s">
        <v>119</v>
      </c>
      <c r="J139" s="1" t="s">
        <v>120</v>
      </c>
      <c r="K139" s="1"/>
      <c r="L139" s="1" t="s">
        <v>113</v>
      </c>
      <c r="M139" s="1"/>
      <c r="N139" s="1"/>
      <c r="O139" s="1"/>
      <c r="P139" s="1"/>
      <c r="Q139" s="1"/>
    </row>
    <row r="140" spans="1:17" x14ac:dyDescent="0.25">
      <c r="A140" s="1" t="s">
        <v>22</v>
      </c>
      <c r="B140" s="1" t="s">
        <v>439</v>
      </c>
      <c r="C140" s="3">
        <v>8585512000179</v>
      </c>
      <c r="D140" s="1" t="s">
        <v>310</v>
      </c>
      <c r="E140" s="1"/>
      <c r="F140" s="4">
        <v>45643</v>
      </c>
      <c r="G140" s="1" t="s">
        <v>111</v>
      </c>
      <c r="H140" s="1" t="s">
        <v>67</v>
      </c>
      <c r="I140" s="1" t="s">
        <v>68</v>
      </c>
      <c r="J140" s="1" t="s">
        <v>112</v>
      </c>
      <c r="K140" s="1"/>
      <c r="L140" s="1" t="s">
        <v>113</v>
      </c>
      <c r="M140" s="1"/>
      <c r="N140" s="1"/>
      <c r="O140" s="1"/>
      <c r="P140" s="5">
        <v>45643.674942129626</v>
      </c>
      <c r="Q140" s="1" t="s">
        <v>440</v>
      </c>
    </row>
    <row r="141" spans="1:17" x14ac:dyDescent="0.25">
      <c r="A141" s="1" t="s">
        <v>22</v>
      </c>
      <c r="B141" s="1" t="s">
        <v>441</v>
      </c>
      <c r="C141" s="3">
        <v>8282059000121</v>
      </c>
      <c r="D141" s="1" t="s">
        <v>310</v>
      </c>
      <c r="E141" s="1"/>
      <c r="F141" s="4">
        <v>45643</v>
      </c>
      <c r="G141" s="1" t="s">
        <v>111</v>
      </c>
      <c r="H141" s="1" t="s">
        <v>67</v>
      </c>
      <c r="I141" s="1" t="s">
        <v>68</v>
      </c>
      <c r="J141" s="1" t="s">
        <v>112</v>
      </c>
      <c r="K141" s="1"/>
      <c r="L141" s="1" t="s">
        <v>113</v>
      </c>
      <c r="M141" s="1"/>
      <c r="N141" s="1"/>
      <c r="O141" s="1"/>
      <c r="P141" s="5">
        <v>45643.675266203703</v>
      </c>
      <c r="Q141" s="1" t="s">
        <v>442</v>
      </c>
    </row>
    <row r="142" spans="1:17" x14ac:dyDescent="0.25">
      <c r="A142" s="1" t="s">
        <v>22</v>
      </c>
      <c r="B142" s="1" t="s">
        <v>443</v>
      </c>
      <c r="C142" s="3">
        <v>4752916000159</v>
      </c>
      <c r="D142" s="1" t="s">
        <v>310</v>
      </c>
      <c r="E142" s="1"/>
      <c r="F142" s="4">
        <v>45643</v>
      </c>
      <c r="G142" s="1" t="s">
        <v>111</v>
      </c>
      <c r="H142" s="1" t="s">
        <v>67</v>
      </c>
      <c r="I142" s="1" t="s">
        <v>68</v>
      </c>
      <c r="J142" s="1" t="s">
        <v>133</v>
      </c>
      <c r="K142" s="4">
        <v>45679</v>
      </c>
      <c r="L142" s="1" t="s">
        <v>113</v>
      </c>
      <c r="M142" s="1" t="s">
        <v>155</v>
      </c>
      <c r="N142" s="1"/>
      <c r="O142" s="1"/>
      <c r="P142" s="5">
        <v>45674.608912037038</v>
      </c>
      <c r="Q142" s="1" t="s">
        <v>239</v>
      </c>
    </row>
    <row r="143" spans="1:17" x14ac:dyDescent="0.25">
      <c r="A143" s="1" t="s">
        <v>22</v>
      </c>
      <c r="B143" s="1" t="s">
        <v>444</v>
      </c>
      <c r="C143" s="3">
        <v>3417119000152</v>
      </c>
      <c r="D143" s="1" t="s">
        <v>310</v>
      </c>
      <c r="E143" s="1"/>
      <c r="F143" s="4">
        <v>45643</v>
      </c>
      <c r="G143" s="1" t="s">
        <v>111</v>
      </c>
      <c r="H143" s="1" t="s">
        <v>67</v>
      </c>
      <c r="I143" s="1" t="s">
        <v>68</v>
      </c>
      <c r="J143" s="1" t="s">
        <v>112</v>
      </c>
      <c r="K143" s="1"/>
      <c r="L143" s="1" t="s">
        <v>113</v>
      </c>
      <c r="M143" s="1"/>
      <c r="N143" s="1"/>
      <c r="O143" s="1"/>
      <c r="P143" s="5">
        <v>45646.391296296293</v>
      </c>
      <c r="Q143" s="1" t="s">
        <v>445</v>
      </c>
    </row>
    <row r="144" spans="1:17" x14ac:dyDescent="0.25">
      <c r="A144" s="1" t="s">
        <v>22</v>
      </c>
      <c r="B144" s="1" t="s">
        <v>446</v>
      </c>
      <c r="C144" s="3">
        <v>6916550000131</v>
      </c>
      <c r="D144" s="1" t="s">
        <v>310</v>
      </c>
      <c r="E144" s="1"/>
      <c r="F144" s="4">
        <v>45643</v>
      </c>
      <c r="G144" s="1" t="s">
        <v>111</v>
      </c>
      <c r="H144" s="1" t="s">
        <v>67</v>
      </c>
      <c r="I144" s="1" t="s">
        <v>68</v>
      </c>
      <c r="J144" s="1" t="s">
        <v>112</v>
      </c>
      <c r="K144" s="1"/>
      <c r="L144" s="1" t="s">
        <v>113</v>
      </c>
      <c r="M144" s="1"/>
      <c r="N144" s="1"/>
      <c r="O144" s="1"/>
      <c r="P144" s="5">
        <v>45643.676412037035</v>
      </c>
      <c r="Q144" s="1" t="s">
        <v>447</v>
      </c>
    </row>
    <row r="145" spans="1:17" x14ac:dyDescent="0.25">
      <c r="A145" s="1" t="s">
        <v>22</v>
      </c>
      <c r="B145" s="1" t="s">
        <v>448</v>
      </c>
      <c r="C145" s="3">
        <v>36374881000158</v>
      </c>
      <c r="D145" s="1" t="s">
        <v>310</v>
      </c>
      <c r="E145" s="1"/>
      <c r="F145" s="4">
        <v>45643</v>
      </c>
      <c r="G145" s="1" t="s">
        <v>111</v>
      </c>
      <c r="H145" s="1" t="s">
        <v>67</v>
      </c>
      <c r="I145" s="1" t="s">
        <v>68</v>
      </c>
      <c r="J145" s="1" t="s">
        <v>112</v>
      </c>
      <c r="K145" s="1"/>
      <c r="L145" s="1" t="s">
        <v>113</v>
      </c>
      <c r="M145" s="1"/>
      <c r="N145" s="1"/>
      <c r="O145" s="1"/>
      <c r="P145" s="5">
        <v>45643.676736111112</v>
      </c>
      <c r="Q145" s="1" t="s">
        <v>449</v>
      </c>
    </row>
    <row r="146" spans="1:17" x14ac:dyDescent="0.25">
      <c r="A146" s="1" t="s">
        <v>22</v>
      </c>
      <c r="B146" s="1" t="s">
        <v>450</v>
      </c>
      <c r="C146" s="3">
        <v>6262873000159</v>
      </c>
      <c r="D146" s="1" t="s">
        <v>310</v>
      </c>
      <c r="E146" s="1"/>
      <c r="F146" s="4">
        <v>45644</v>
      </c>
      <c r="G146" s="1" t="s">
        <v>111</v>
      </c>
      <c r="H146" s="1" t="s">
        <v>67</v>
      </c>
      <c r="I146" s="1" t="s">
        <v>68</v>
      </c>
      <c r="J146" s="1" t="s">
        <v>112</v>
      </c>
      <c r="K146" s="1"/>
      <c r="L146" s="1" t="s">
        <v>113</v>
      </c>
      <c r="M146" s="1"/>
      <c r="N146" s="1"/>
      <c r="O146" s="1"/>
      <c r="P146" s="5">
        <v>45656.546400462961</v>
      </c>
      <c r="Q146" s="1" t="s">
        <v>451</v>
      </c>
    </row>
    <row r="147" spans="1:17" x14ac:dyDescent="0.25">
      <c r="A147" s="1" t="s">
        <v>22</v>
      </c>
      <c r="B147" s="1" t="s">
        <v>452</v>
      </c>
      <c r="C147" s="3">
        <v>11139348000180</v>
      </c>
      <c r="D147" s="1" t="s">
        <v>310</v>
      </c>
      <c r="E147" s="1"/>
      <c r="F147" s="4">
        <v>45643</v>
      </c>
      <c r="G147" s="1" t="s">
        <v>111</v>
      </c>
      <c r="H147" s="1" t="s">
        <v>67</v>
      </c>
      <c r="I147" s="1" t="s">
        <v>68</v>
      </c>
      <c r="J147" s="1" t="s">
        <v>112</v>
      </c>
      <c r="K147" s="1"/>
      <c r="L147" s="1" t="s">
        <v>113</v>
      </c>
      <c r="M147" s="1"/>
      <c r="N147" s="1"/>
      <c r="O147" s="1"/>
      <c r="P147" s="5">
        <v>45643.677094907405</v>
      </c>
      <c r="Q147" s="1" t="s">
        <v>453</v>
      </c>
    </row>
    <row r="148" spans="1:17" x14ac:dyDescent="0.25">
      <c r="A148" s="1" t="s">
        <v>22</v>
      </c>
      <c r="B148" s="1" t="s">
        <v>454</v>
      </c>
      <c r="C148" s="3">
        <v>10672838000185</v>
      </c>
      <c r="D148" s="1" t="s">
        <v>310</v>
      </c>
      <c r="E148" s="1"/>
      <c r="F148" s="4">
        <v>45643</v>
      </c>
      <c r="G148" s="1" t="s">
        <v>111</v>
      </c>
      <c r="H148" s="1" t="s">
        <v>67</v>
      </c>
      <c r="I148" s="1" t="s">
        <v>68</v>
      </c>
      <c r="J148" s="1" t="s">
        <v>112</v>
      </c>
      <c r="K148" s="1"/>
      <c r="L148" s="1" t="s">
        <v>113</v>
      </c>
      <c r="M148" s="1"/>
      <c r="N148" s="1"/>
      <c r="O148" s="1"/>
      <c r="P148" s="5">
        <v>45643.677407407406</v>
      </c>
      <c r="Q148" s="1" t="s">
        <v>455</v>
      </c>
    </row>
    <row r="149" spans="1:17" x14ac:dyDescent="0.25">
      <c r="A149" s="1" t="s">
        <v>23</v>
      </c>
      <c r="B149" s="1" t="s">
        <v>456</v>
      </c>
      <c r="C149" s="3">
        <v>60511141000109</v>
      </c>
      <c r="D149" s="1" t="s">
        <v>457</v>
      </c>
      <c r="E149" s="1" t="s">
        <v>458</v>
      </c>
      <c r="F149" s="4">
        <v>45832</v>
      </c>
      <c r="G149" s="1" t="s">
        <v>459</v>
      </c>
      <c r="H149" s="1" t="s">
        <v>118</v>
      </c>
      <c r="I149" s="1" t="s">
        <v>119</v>
      </c>
      <c r="J149" s="1" t="s">
        <v>112</v>
      </c>
      <c r="K149" s="1"/>
      <c r="L149" s="1" t="s">
        <v>113</v>
      </c>
      <c r="M149" s="1"/>
      <c r="N149" s="1"/>
      <c r="O149" s="1"/>
      <c r="P149" s="5">
        <v>45834.738599537035</v>
      </c>
      <c r="Q149" s="1" t="s">
        <v>460</v>
      </c>
    </row>
    <row r="150" spans="1:17" x14ac:dyDescent="0.25">
      <c r="A150" s="1" t="s">
        <v>23</v>
      </c>
      <c r="B150" s="1" t="s">
        <v>461</v>
      </c>
      <c r="C150" s="3">
        <v>7435569000129</v>
      </c>
      <c r="D150" s="1" t="s">
        <v>462</v>
      </c>
      <c r="E150" s="1"/>
      <c r="F150" s="4">
        <v>45770</v>
      </c>
      <c r="G150" s="1" t="s">
        <v>111</v>
      </c>
      <c r="H150" s="1" t="s">
        <v>79</v>
      </c>
      <c r="I150" s="1" t="s">
        <v>80</v>
      </c>
      <c r="J150" s="1" t="s">
        <v>112</v>
      </c>
      <c r="K150" s="1"/>
      <c r="L150" s="1" t="s">
        <v>113</v>
      </c>
      <c r="M150" s="1"/>
      <c r="N150" s="1"/>
      <c r="O150" s="1"/>
      <c r="P150" s="5">
        <v>45770.468368055554</v>
      </c>
      <c r="Q150" s="1" t="s">
        <v>463</v>
      </c>
    </row>
    <row r="151" spans="1:17" x14ac:dyDescent="0.25">
      <c r="A151" s="1" t="s">
        <v>23</v>
      </c>
      <c r="B151" s="1" t="s">
        <v>464</v>
      </c>
      <c r="C151" s="3">
        <v>2418815000110</v>
      </c>
      <c r="D151" s="1" t="s">
        <v>465</v>
      </c>
      <c r="E151" s="1"/>
      <c r="F151" s="4">
        <v>45764</v>
      </c>
      <c r="G151" s="1" t="s">
        <v>111</v>
      </c>
      <c r="H151" s="1" t="s">
        <v>79</v>
      </c>
      <c r="I151" s="1" t="s">
        <v>80</v>
      </c>
      <c r="J151" s="1" t="s">
        <v>112</v>
      </c>
      <c r="K151" s="1"/>
      <c r="L151" s="1" t="s">
        <v>113</v>
      </c>
      <c r="M151" s="1"/>
      <c r="N151" s="1"/>
      <c r="O151" s="1"/>
      <c r="P151" s="5">
        <v>45764.630891203706</v>
      </c>
      <c r="Q151" s="1" t="s">
        <v>466</v>
      </c>
    </row>
    <row r="152" spans="1:17" x14ac:dyDescent="0.25">
      <c r="A152" s="1" t="s">
        <v>23</v>
      </c>
      <c r="B152" s="1" t="s">
        <v>467</v>
      </c>
      <c r="C152" s="3">
        <v>7858230000135</v>
      </c>
      <c r="D152" s="1" t="s">
        <v>468</v>
      </c>
      <c r="E152" s="1"/>
      <c r="F152" s="4">
        <v>45764</v>
      </c>
      <c r="G152" s="1" t="s">
        <v>111</v>
      </c>
      <c r="H152" s="1" t="s">
        <v>79</v>
      </c>
      <c r="I152" s="1" t="s">
        <v>80</v>
      </c>
      <c r="J152" s="1" t="s">
        <v>112</v>
      </c>
      <c r="K152" s="1"/>
      <c r="L152" s="1" t="s">
        <v>113</v>
      </c>
      <c r="M152" s="1"/>
      <c r="N152" s="1"/>
      <c r="O152" s="1"/>
      <c r="P152" s="5">
        <v>45792.369375000002</v>
      </c>
      <c r="Q152" s="1" t="s">
        <v>469</v>
      </c>
    </row>
    <row r="153" spans="1:17" x14ac:dyDescent="0.25">
      <c r="A153" s="1" t="s">
        <v>23</v>
      </c>
      <c r="B153" s="1" t="s">
        <v>467</v>
      </c>
      <c r="C153" s="3">
        <v>7858230000135</v>
      </c>
      <c r="D153" s="1" t="s">
        <v>470</v>
      </c>
      <c r="E153" s="1"/>
      <c r="F153" s="4">
        <v>45769</v>
      </c>
      <c r="G153" s="1" t="s">
        <v>111</v>
      </c>
      <c r="H153" s="1" t="s">
        <v>79</v>
      </c>
      <c r="I153" s="1" t="s">
        <v>80</v>
      </c>
      <c r="J153" s="1" t="s">
        <v>133</v>
      </c>
      <c r="K153" s="4">
        <v>45772</v>
      </c>
      <c r="L153" s="1" t="s">
        <v>113</v>
      </c>
      <c r="M153" s="1" t="s">
        <v>155</v>
      </c>
      <c r="N153" s="1"/>
      <c r="O153" s="1"/>
      <c r="P153" s="5">
        <v>45771.681747685187</v>
      </c>
      <c r="Q153" s="1" t="s">
        <v>471</v>
      </c>
    </row>
    <row r="154" spans="1:17" x14ac:dyDescent="0.25">
      <c r="A154" s="1" t="s">
        <v>23</v>
      </c>
      <c r="B154" s="1" t="s">
        <v>472</v>
      </c>
      <c r="C154" s="3">
        <v>55859286000157</v>
      </c>
      <c r="D154" s="1" t="s">
        <v>473</v>
      </c>
      <c r="E154" s="1"/>
      <c r="F154" s="4">
        <v>45856</v>
      </c>
      <c r="G154" s="1" t="s">
        <v>111</v>
      </c>
      <c r="H154" s="1" t="s">
        <v>118</v>
      </c>
      <c r="I154" s="1" t="s">
        <v>119</v>
      </c>
      <c r="J154" s="1" t="s">
        <v>112</v>
      </c>
      <c r="K154" s="1"/>
      <c r="L154" s="1" t="s">
        <v>113</v>
      </c>
      <c r="M154" s="1"/>
      <c r="N154" s="1"/>
      <c r="O154" s="1"/>
      <c r="P154" s="5">
        <v>45856.669456018521</v>
      </c>
      <c r="Q154" s="1" t="s">
        <v>474</v>
      </c>
    </row>
    <row r="155" spans="1:17" x14ac:dyDescent="0.25">
      <c r="A155" s="1" t="s">
        <v>23</v>
      </c>
      <c r="B155" s="1" t="s">
        <v>475</v>
      </c>
      <c r="C155" s="3">
        <v>42281485000189</v>
      </c>
      <c r="D155" s="1" t="s">
        <v>476</v>
      </c>
      <c r="E155" s="1"/>
      <c r="F155" s="4">
        <v>45792</v>
      </c>
      <c r="G155" s="1" t="s">
        <v>111</v>
      </c>
      <c r="H155" s="1" t="s">
        <v>79</v>
      </c>
      <c r="I155" s="1" t="s">
        <v>80</v>
      </c>
      <c r="J155" s="1" t="s">
        <v>120</v>
      </c>
      <c r="K155" s="1"/>
      <c r="L155" s="1" t="s">
        <v>113</v>
      </c>
      <c r="M155" s="1"/>
      <c r="N155" s="1"/>
      <c r="O155" s="1"/>
      <c r="P155" s="1"/>
      <c r="Q155" s="1"/>
    </row>
    <row r="156" spans="1:17" x14ac:dyDescent="0.25">
      <c r="A156" s="1" t="s">
        <v>24</v>
      </c>
      <c r="B156" s="1" t="s">
        <v>477</v>
      </c>
      <c r="C156" s="3">
        <v>52054414000105</v>
      </c>
      <c r="D156" s="1" t="s">
        <v>478</v>
      </c>
      <c r="E156" s="1"/>
      <c r="F156" s="4">
        <v>45643</v>
      </c>
      <c r="G156" s="1" t="s">
        <v>111</v>
      </c>
      <c r="H156" s="1" t="s">
        <v>63</v>
      </c>
      <c r="I156" s="1" t="s">
        <v>64</v>
      </c>
      <c r="J156" s="1" t="s">
        <v>112</v>
      </c>
      <c r="K156" s="1"/>
      <c r="L156" s="1" t="s">
        <v>113</v>
      </c>
      <c r="M156" s="1"/>
      <c r="N156" s="1"/>
      <c r="O156" s="1"/>
      <c r="P156" s="5">
        <v>45643.688159722224</v>
      </c>
      <c r="Q156" s="1" t="s">
        <v>479</v>
      </c>
    </row>
    <row r="157" spans="1:17" x14ac:dyDescent="0.25">
      <c r="A157" s="1" t="s">
        <v>24</v>
      </c>
      <c r="B157" s="1" t="s">
        <v>480</v>
      </c>
      <c r="C157" s="3">
        <v>22474636000108</v>
      </c>
      <c r="D157" s="1" t="s">
        <v>481</v>
      </c>
      <c r="E157" s="1"/>
      <c r="F157" s="4">
        <v>45799</v>
      </c>
      <c r="G157" s="1" t="s">
        <v>111</v>
      </c>
      <c r="H157" s="1" t="s">
        <v>63</v>
      </c>
      <c r="I157" s="1" t="s">
        <v>64</v>
      </c>
      <c r="J157" s="1" t="s">
        <v>112</v>
      </c>
      <c r="K157" s="1"/>
      <c r="L157" s="1" t="s">
        <v>113</v>
      </c>
      <c r="M157" s="1"/>
      <c r="N157" s="1"/>
      <c r="O157" s="1"/>
      <c r="P157" s="5">
        <v>45799.522465277776</v>
      </c>
      <c r="Q157" s="1" t="s">
        <v>482</v>
      </c>
    </row>
    <row r="158" spans="1:17" x14ac:dyDescent="0.25">
      <c r="A158" s="1" t="s">
        <v>24</v>
      </c>
      <c r="B158" s="1" t="s">
        <v>483</v>
      </c>
      <c r="C158" s="3">
        <v>7135065000193</v>
      </c>
      <c r="D158" s="1" t="s">
        <v>478</v>
      </c>
      <c r="E158" s="1"/>
      <c r="F158" s="4">
        <v>45643</v>
      </c>
      <c r="G158" s="1" t="s">
        <v>111</v>
      </c>
      <c r="H158" s="1" t="s">
        <v>63</v>
      </c>
      <c r="I158" s="1" t="s">
        <v>64</v>
      </c>
      <c r="J158" s="1" t="s">
        <v>112</v>
      </c>
      <c r="K158" s="1"/>
      <c r="L158" s="1" t="s">
        <v>113</v>
      </c>
      <c r="M158" s="1"/>
      <c r="N158" s="1"/>
      <c r="O158" s="1"/>
      <c r="P158" s="5">
        <v>45694.58320601852</v>
      </c>
      <c r="Q158" s="1" t="s">
        <v>484</v>
      </c>
    </row>
    <row r="159" spans="1:17" x14ac:dyDescent="0.25">
      <c r="A159" s="1" t="s">
        <v>24</v>
      </c>
      <c r="B159" s="1" t="s">
        <v>485</v>
      </c>
      <c r="C159" s="3">
        <v>5770537000154</v>
      </c>
      <c r="D159" s="1" t="s">
        <v>486</v>
      </c>
      <c r="E159" s="1"/>
      <c r="F159" s="4">
        <v>45841</v>
      </c>
      <c r="G159" s="1" t="s">
        <v>227</v>
      </c>
      <c r="H159" s="1" t="s">
        <v>118</v>
      </c>
      <c r="I159" s="1" t="s">
        <v>119</v>
      </c>
      <c r="J159" s="1" t="s">
        <v>112</v>
      </c>
      <c r="K159" s="1"/>
      <c r="L159" s="1" t="s">
        <v>113</v>
      </c>
      <c r="M159" s="1"/>
      <c r="N159" s="1"/>
      <c r="O159" s="1"/>
      <c r="P159" s="5">
        <v>45845.601377314815</v>
      </c>
      <c r="Q159" s="1" t="s">
        <v>487</v>
      </c>
    </row>
    <row r="160" spans="1:17" x14ac:dyDescent="0.25">
      <c r="A160" s="1" t="s">
        <v>24</v>
      </c>
      <c r="B160" s="1" t="s">
        <v>488</v>
      </c>
      <c r="C160" s="3">
        <v>9270793000133</v>
      </c>
      <c r="D160" s="1" t="s">
        <v>478</v>
      </c>
      <c r="E160" s="1"/>
      <c r="F160" s="4">
        <v>45643</v>
      </c>
      <c r="G160" s="1" t="s">
        <v>111</v>
      </c>
      <c r="H160" s="1" t="s">
        <v>63</v>
      </c>
      <c r="I160" s="1" t="s">
        <v>64</v>
      </c>
      <c r="J160" s="1" t="s">
        <v>112</v>
      </c>
      <c r="K160" s="1"/>
      <c r="L160" s="1" t="s">
        <v>113</v>
      </c>
      <c r="M160" s="1"/>
      <c r="N160" s="1"/>
      <c r="O160" s="1"/>
      <c r="P160" s="5">
        <v>45643.687604166669</v>
      </c>
      <c r="Q160" s="1" t="s">
        <v>489</v>
      </c>
    </row>
    <row r="161" spans="1:17" x14ac:dyDescent="0.25">
      <c r="A161" s="1" t="s">
        <v>24</v>
      </c>
      <c r="B161" s="1" t="s">
        <v>490</v>
      </c>
      <c r="C161" s="3">
        <v>7825642000179</v>
      </c>
      <c r="D161" s="1" t="s">
        <v>478</v>
      </c>
      <c r="E161" s="1"/>
      <c r="F161" s="4">
        <v>45643</v>
      </c>
      <c r="G161" s="1" t="s">
        <v>111</v>
      </c>
      <c r="H161" s="1" t="s">
        <v>87</v>
      </c>
      <c r="I161" s="1" t="s">
        <v>88</v>
      </c>
      <c r="J161" s="1" t="s">
        <v>112</v>
      </c>
      <c r="K161" s="1"/>
      <c r="L161" s="1" t="s">
        <v>113</v>
      </c>
      <c r="M161" s="1"/>
      <c r="N161" s="1"/>
      <c r="O161" s="1"/>
      <c r="P161" s="5">
        <v>45643.68854166667</v>
      </c>
      <c r="Q161" s="1" t="s">
        <v>491</v>
      </c>
    </row>
    <row r="162" spans="1:17" x14ac:dyDescent="0.25">
      <c r="A162" s="1" t="s">
        <v>24</v>
      </c>
      <c r="B162" s="1" t="s">
        <v>490</v>
      </c>
      <c r="C162" s="3">
        <v>7825642000179</v>
      </c>
      <c r="D162" s="1" t="s">
        <v>492</v>
      </c>
      <c r="E162" s="1"/>
      <c r="F162" s="4">
        <v>45821</v>
      </c>
      <c r="G162" s="1" t="s">
        <v>139</v>
      </c>
      <c r="H162" s="1" t="s">
        <v>63</v>
      </c>
      <c r="I162" s="1" t="s">
        <v>64</v>
      </c>
      <c r="J162" s="1" t="s">
        <v>133</v>
      </c>
      <c r="K162" s="4">
        <v>45825</v>
      </c>
      <c r="L162" s="1" t="s">
        <v>113</v>
      </c>
      <c r="M162" s="1" t="s">
        <v>155</v>
      </c>
      <c r="N162" s="1"/>
      <c r="O162" s="1"/>
      <c r="P162" s="1"/>
      <c r="Q162" s="1"/>
    </row>
    <row r="163" spans="1:17" x14ac:dyDescent="0.25">
      <c r="A163" s="1" t="s">
        <v>24</v>
      </c>
      <c r="B163" s="1" t="s">
        <v>493</v>
      </c>
      <c r="C163" s="3">
        <v>19842324000103</v>
      </c>
      <c r="D163" s="1" t="s">
        <v>478</v>
      </c>
      <c r="E163" s="1"/>
      <c r="F163" s="4">
        <v>45643</v>
      </c>
      <c r="G163" s="1" t="s">
        <v>111</v>
      </c>
      <c r="H163" s="1" t="s">
        <v>63</v>
      </c>
      <c r="I163" s="1" t="s">
        <v>64</v>
      </c>
      <c r="J163" s="1" t="s">
        <v>112</v>
      </c>
      <c r="K163" s="1"/>
      <c r="L163" s="1" t="s">
        <v>113</v>
      </c>
      <c r="M163" s="1"/>
      <c r="N163" s="1"/>
      <c r="O163" s="1"/>
      <c r="P163" s="5">
        <v>45643.689074074071</v>
      </c>
      <c r="Q163" s="1" t="s">
        <v>494</v>
      </c>
    </row>
    <row r="164" spans="1:17" x14ac:dyDescent="0.25">
      <c r="A164" s="1" t="s">
        <v>24</v>
      </c>
      <c r="B164" s="1" t="s">
        <v>495</v>
      </c>
      <c r="C164" s="3">
        <v>9115746000115</v>
      </c>
      <c r="D164" s="1" t="s">
        <v>478</v>
      </c>
      <c r="E164" s="1"/>
      <c r="F164" s="4">
        <v>45643</v>
      </c>
      <c r="G164" s="1" t="s">
        <v>111</v>
      </c>
      <c r="H164" s="1" t="s">
        <v>63</v>
      </c>
      <c r="I164" s="1" t="s">
        <v>64</v>
      </c>
      <c r="J164" s="1" t="s">
        <v>112</v>
      </c>
      <c r="K164" s="1"/>
      <c r="L164" s="1" t="s">
        <v>113</v>
      </c>
      <c r="M164" s="1"/>
      <c r="N164" s="1"/>
      <c r="O164" s="1"/>
      <c r="P164" s="5">
        <v>45644.500335648147</v>
      </c>
      <c r="Q164" s="1" t="s">
        <v>496</v>
      </c>
    </row>
    <row r="165" spans="1:17" x14ac:dyDescent="0.25">
      <c r="A165" s="1" t="s">
        <v>24</v>
      </c>
      <c r="B165" s="1" t="s">
        <v>497</v>
      </c>
      <c r="C165" s="3">
        <v>45806520000124</v>
      </c>
      <c r="D165" s="1" t="s">
        <v>478</v>
      </c>
      <c r="E165" s="1"/>
      <c r="F165" s="4">
        <v>45643</v>
      </c>
      <c r="G165" s="1" t="s">
        <v>111</v>
      </c>
      <c r="H165" s="1" t="s">
        <v>63</v>
      </c>
      <c r="I165" s="1" t="s">
        <v>64</v>
      </c>
      <c r="J165" s="1" t="s">
        <v>112</v>
      </c>
      <c r="K165" s="1"/>
      <c r="L165" s="1" t="s">
        <v>113</v>
      </c>
      <c r="M165" s="1"/>
      <c r="N165" s="1"/>
      <c r="O165" s="1"/>
      <c r="P165" s="5">
        <v>45797.590277777781</v>
      </c>
      <c r="Q165" s="1" t="s">
        <v>498</v>
      </c>
    </row>
    <row r="166" spans="1:17" x14ac:dyDescent="0.25">
      <c r="A166" s="1" t="s">
        <v>25</v>
      </c>
      <c r="B166" s="1" t="s">
        <v>499</v>
      </c>
      <c r="C166" s="3">
        <v>1984669000128</v>
      </c>
      <c r="D166" s="1" t="s">
        <v>500</v>
      </c>
      <c r="E166" s="1"/>
      <c r="F166" s="4">
        <v>45763</v>
      </c>
      <c r="G166" s="1" t="s">
        <v>111</v>
      </c>
      <c r="H166" s="1" t="s">
        <v>77</v>
      </c>
      <c r="I166" s="1" t="s">
        <v>78</v>
      </c>
      <c r="J166" s="1" t="s">
        <v>112</v>
      </c>
      <c r="K166" s="1"/>
      <c r="L166" s="1" t="s">
        <v>113</v>
      </c>
      <c r="M166" s="1"/>
      <c r="N166" s="1"/>
      <c r="O166" s="1"/>
      <c r="P166" s="5">
        <v>45763.375150462962</v>
      </c>
      <c r="Q166" s="1" t="s">
        <v>501</v>
      </c>
    </row>
    <row r="167" spans="1:17" x14ac:dyDescent="0.25">
      <c r="A167" s="1" t="s">
        <v>25</v>
      </c>
      <c r="B167" s="1" t="s">
        <v>502</v>
      </c>
      <c r="C167" s="3">
        <v>4179384000102</v>
      </c>
      <c r="D167" s="1" t="s">
        <v>503</v>
      </c>
      <c r="E167" s="1"/>
      <c r="F167" s="4">
        <v>45723</v>
      </c>
      <c r="G167" s="1" t="s">
        <v>111</v>
      </c>
      <c r="H167" s="1" t="s">
        <v>77</v>
      </c>
      <c r="I167" s="1" t="s">
        <v>78</v>
      </c>
      <c r="J167" s="1" t="s">
        <v>120</v>
      </c>
      <c r="K167" s="1"/>
      <c r="L167" s="1" t="s">
        <v>113</v>
      </c>
      <c r="M167" s="1"/>
      <c r="N167" s="1"/>
      <c r="O167" s="1"/>
      <c r="P167" s="1"/>
      <c r="Q167" s="1"/>
    </row>
    <row r="168" spans="1:17" x14ac:dyDescent="0.25">
      <c r="A168" s="1" t="s">
        <v>25</v>
      </c>
      <c r="B168" s="1" t="s">
        <v>504</v>
      </c>
      <c r="C168" s="3">
        <v>23776343000148</v>
      </c>
      <c r="D168" s="1" t="s">
        <v>505</v>
      </c>
      <c r="E168" s="1"/>
      <c r="F168" s="4">
        <v>45643</v>
      </c>
      <c r="G168" s="1" t="s">
        <v>111</v>
      </c>
      <c r="H168" s="1" t="s">
        <v>77</v>
      </c>
      <c r="I168" s="1" t="s">
        <v>78</v>
      </c>
      <c r="J168" s="1" t="s">
        <v>112</v>
      </c>
      <c r="K168" s="1"/>
      <c r="L168" s="1" t="s">
        <v>113</v>
      </c>
      <c r="M168" s="1"/>
      <c r="N168" s="1"/>
      <c r="O168" s="1"/>
      <c r="P168" s="5">
        <v>45666.58625</v>
      </c>
      <c r="Q168" s="1" t="s">
        <v>506</v>
      </c>
    </row>
    <row r="169" spans="1:17" x14ac:dyDescent="0.25">
      <c r="A169" s="1" t="s">
        <v>25</v>
      </c>
      <c r="B169" s="1" t="s">
        <v>507</v>
      </c>
      <c r="C169" s="3">
        <v>22760001000177</v>
      </c>
      <c r="D169" s="1" t="s">
        <v>508</v>
      </c>
      <c r="E169" s="1"/>
      <c r="F169" s="4">
        <v>45757</v>
      </c>
      <c r="G169" s="1" t="s">
        <v>165</v>
      </c>
      <c r="H169" s="1" t="s">
        <v>118</v>
      </c>
      <c r="I169" s="1" t="s">
        <v>119</v>
      </c>
      <c r="J169" s="1" t="s">
        <v>112</v>
      </c>
      <c r="K169" s="1"/>
      <c r="L169" s="1" t="s">
        <v>113</v>
      </c>
      <c r="M169" s="1"/>
      <c r="N169" s="1"/>
      <c r="O169" s="1"/>
      <c r="P169" s="5">
        <v>45757.691261574073</v>
      </c>
      <c r="Q169" s="1" t="s">
        <v>509</v>
      </c>
    </row>
    <row r="170" spans="1:17" x14ac:dyDescent="0.25">
      <c r="A170" s="1" t="s">
        <v>25</v>
      </c>
      <c r="B170" s="1" t="s">
        <v>510</v>
      </c>
      <c r="C170" s="3">
        <v>45528964000145</v>
      </c>
      <c r="D170" s="1" t="s">
        <v>511</v>
      </c>
      <c r="E170" s="1"/>
      <c r="F170" s="4">
        <v>45821</v>
      </c>
      <c r="G170" s="1" t="s">
        <v>512</v>
      </c>
      <c r="H170" s="1" t="s">
        <v>118</v>
      </c>
      <c r="I170" s="1" t="s">
        <v>119</v>
      </c>
      <c r="J170" s="1" t="s">
        <v>112</v>
      </c>
      <c r="K170" s="1"/>
      <c r="L170" s="1" t="s">
        <v>113</v>
      </c>
      <c r="M170" s="1"/>
      <c r="N170" s="1"/>
      <c r="O170" s="1"/>
      <c r="P170" s="5">
        <v>45821.633553240739</v>
      </c>
      <c r="Q170" s="1" t="s">
        <v>513</v>
      </c>
    </row>
    <row r="171" spans="1:17" x14ac:dyDescent="0.25">
      <c r="A171" s="1" t="s">
        <v>25</v>
      </c>
      <c r="B171" s="1" t="s">
        <v>514</v>
      </c>
      <c r="C171" s="3">
        <v>22429436000133</v>
      </c>
      <c r="D171" s="1" t="s">
        <v>515</v>
      </c>
      <c r="E171" s="1"/>
      <c r="F171" s="4">
        <v>45698</v>
      </c>
      <c r="G171" s="1" t="s">
        <v>111</v>
      </c>
      <c r="H171" s="1" t="s">
        <v>77</v>
      </c>
      <c r="I171" s="1" t="s">
        <v>78</v>
      </c>
      <c r="J171" s="1" t="s">
        <v>112</v>
      </c>
      <c r="K171" s="1"/>
      <c r="L171" s="1" t="s">
        <v>113</v>
      </c>
      <c r="M171" s="1"/>
      <c r="N171" s="1"/>
      <c r="O171" s="1"/>
      <c r="P171" s="5">
        <v>45698.398518518516</v>
      </c>
      <c r="Q171" s="1" t="s">
        <v>516</v>
      </c>
    </row>
    <row r="172" spans="1:17" x14ac:dyDescent="0.25">
      <c r="A172" s="1" t="s">
        <v>26</v>
      </c>
      <c r="B172" s="1" t="s">
        <v>517</v>
      </c>
      <c r="C172" s="3">
        <v>26387713000143</v>
      </c>
      <c r="D172" s="1" t="s">
        <v>518</v>
      </c>
      <c r="E172" s="1"/>
      <c r="F172" s="4">
        <v>45643</v>
      </c>
      <c r="G172" s="1" t="s">
        <v>111</v>
      </c>
      <c r="H172" s="1" t="s">
        <v>87</v>
      </c>
      <c r="I172" s="1" t="s">
        <v>88</v>
      </c>
      <c r="J172" s="1" t="s">
        <v>112</v>
      </c>
      <c r="K172" s="1"/>
      <c r="L172" s="1" t="s">
        <v>113</v>
      </c>
      <c r="M172" s="1"/>
      <c r="N172" s="1"/>
      <c r="O172" s="1"/>
      <c r="P172" s="5">
        <v>45705.643287037034</v>
      </c>
      <c r="Q172" s="1" t="s">
        <v>519</v>
      </c>
    </row>
    <row r="173" spans="1:17" x14ac:dyDescent="0.25">
      <c r="A173" s="1" t="s">
        <v>29</v>
      </c>
      <c r="B173" s="1" t="s">
        <v>520</v>
      </c>
      <c r="C173" s="3">
        <v>20992392000120</v>
      </c>
      <c r="D173" s="1" t="s">
        <v>521</v>
      </c>
      <c r="E173" s="1"/>
      <c r="F173" s="4">
        <v>45643</v>
      </c>
      <c r="G173" s="1" t="s">
        <v>111</v>
      </c>
      <c r="H173" s="1" t="s">
        <v>65</v>
      </c>
      <c r="I173" s="1" t="s">
        <v>66</v>
      </c>
      <c r="J173" s="1" t="s">
        <v>112</v>
      </c>
      <c r="K173" s="1"/>
      <c r="L173" s="1" t="s">
        <v>113</v>
      </c>
      <c r="M173" s="1"/>
      <c r="N173" s="1"/>
      <c r="O173" s="1"/>
      <c r="P173" s="5">
        <v>45645.662222222221</v>
      </c>
      <c r="Q173" s="1" t="s">
        <v>522</v>
      </c>
    </row>
    <row r="174" spans="1:17" x14ac:dyDescent="0.25">
      <c r="A174" s="1" t="s">
        <v>29</v>
      </c>
      <c r="B174" s="1" t="s">
        <v>523</v>
      </c>
      <c r="C174" s="3">
        <v>2065816000129</v>
      </c>
      <c r="D174" s="1" t="s">
        <v>521</v>
      </c>
      <c r="E174" s="1"/>
      <c r="F174" s="4">
        <v>45667</v>
      </c>
      <c r="G174" s="1" t="s">
        <v>111</v>
      </c>
      <c r="H174" s="1" t="s">
        <v>65</v>
      </c>
      <c r="I174" s="1" t="s">
        <v>66</v>
      </c>
      <c r="J174" s="1" t="s">
        <v>112</v>
      </c>
      <c r="K174" s="1"/>
      <c r="L174" s="1" t="s">
        <v>113</v>
      </c>
      <c r="M174" s="1"/>
      <c r="N174" s="1"/>
      <c r="O174" s="1"/>
      <c r="P174" s="5">
        <v>45667.411296296297</v>
      </c>
      <c r="Q174" s="1" t="s">
        <v>524</v>
      </c>
    </row>
    <row r="175" spans="1:17" x14ac:dyDescent="0.25">
      <c r="A175" s="1" t="s">
        <v>29</v>
      </c>
      <c r="B175" s="1" t="s">
        <v>525</v>
      </c>
      <c r="C175" s="3">
        <v>33480108000188</v>
      </c>
      <c r="D175" s="1" t="s">
        <v>526</v>
      </c>
      <c r="E175" s="1"/>
      <c r="F175" s="4">
        <v>45681</v>
      </c>
      <c r="G175" s="1" t="s">
        <v>527</v>
      </c>
      <c r="H175" s="1" t="s">
        <v>65</v>
      </c>
      <c r="I175" s="1" t="s">
        <v>66</v>
      </c>
      <c r="J175" s="1" t="s">
        <v>112</v>
      </c>
      <c r="K175" s="1"/>
      <c r="L175" s="1" t="s">
        <v>113</v>
      </c>
      <c r="M175" s="1"/>
      <c r="N175" s="1"/>
      <c r="O175" s="1"/>
      <c r="P175" s="5">
        <v>45681.461805555555</v>
      </c>
      <c r="Q175" s="1" t="s">
        <v>528</v>
      </c>
    </row>
    <row r="176" spans="1:17" x14ac:dyDescent="0.25">
      <c r="A176" s="1" t="s">
        <v>29</v>
      </c>
      <c r="B176" s="1" t="s">
        <v>529</v>
      </c>
      <c r="C176" s="3">
        <v>91977000161</v>
      </c>
      <c r="D176" s="1" t="s">
        <v>530</v>
      </c>
      <c r="E176" s="1"/>
      <c r="F176" s="4">
        <v>45799</v>
      </c>
      <c r="G176" s="1" t="s">
        <v>132</v>
      </c>
      <c r="H176" s="1" t="s">
        <v>65</v>
      </c>
      <c r="I176" s="1" t="s">
        <v>66</v>
      </c>
      <c r="J176" s="1" t="s">
        <v>112</v>
      </c>
      <c r="K176" s="1"/>
      <c r="L176" s="1" t="s">
        <v>113</v>
      </c>
      <c r="M176" s="1"/>
      <c r="N176" s="1"/>
      <c r="O176" s="1"/>
      <c r="P176" s="5">
        <v>45799.880810185183</v>
      </c>
      <c r="Q176" s="1" t="s">
        <v>531</v>
      </c>
    </row>
    <row r="177" spans="1:17" x14ac:dyDescent="0.25">
      <c r="A177" s="1" t="s">
        <v>30</v>
      </c>
      <c r="B177" s="1" t="s">
        <v>532</v>
      </c>
      <c r="C177" s="3">
        <v>8388070000170</v>
      </c>
      <c r="D177" s="1" t="s">
        <v>533</v>
      </c>
      <c r="E177" s="1"/>
      <c r="F177" s="4">
        <v>45758</v>
      </c>
      <c r="G177" s="1" t="s">
        <v>111</v>
      </c>
      <c r="H177" s="1" t="s">
        <v>118</v>
      </c>
      <c r="I177" s="1" t="s">
        <v>119</v>
      </c>
      <c r="J177" s="1" t="s">
        <v>112</v>
      </c>
      <c r="K177" s="1"/>
      <c r="L177" s="1" t="s">
        <v>113</v>
      </c>
      <c r="M177" s="1"/>
      <c r="N177" s="1"/>
      <c r="O177" s="1"/>
      <c r="P177" s="5">
        <v>45758.517476851855</v>
      </c>
      <c r="Q177" s="1" t="s">
        <v>534</v>
      </c>
    </row>
    <row r="178" spans="1:17" x14ac:dyDescent="0.25">
      <c r="A178" s="1" t="s">
        <v>30</v>
      </c>
      <c r="B178" s="1" t="s">
        <v>535</v>
      </c>
      <c r="C178" s="3">
        <v>979808000162</v>
      </c>
      <c r="D178" s="1" t="s">
        <v>536</v>
      </c>
      <c r="E178" s="1"/>
      <c r="F178" s="4">
        <v>45761</v>
      </c>
      <c r="G178" s="1" t="s">
        <v>111</v>
      </c>
      <c r="H178" s="1" t="s">
        <v>118</v>
      </c>
      <c r="I178" s="1" t="s">
        <v>119</v>
      </c>
      <c r="J178" s="1" t="s">
        <v>112</v>
      </c>
      <c r="K178" s="1"/>
      <c r="L178" s="1" t="s">
        <v>113</v>
      </c>
      <c r="M178" s="1"/>
      <c r="N178" s="1"/>
      <c r="O178" s="1"/>
      <c r="P178" s="5">
        <v>45762.386655092596</v>
      </c>
      <c r="Q178" s="1" t="s">
        <v>537</v>
      </c>
    </row>
    <row r="179" spans="1:17" x14ac:dyDescent="0.25">
      <c r="A179" s="1" t="s">
        <v>31</v>
      </c>
      <c r="B179" s="1" t="s">
        <v>538</v>
      </c>
      <c r="C179" s="3">
        <v>27775411000105</v>
      </c>
      <c r="D179" s="1" t="s">
        <v>539</v>
      </c>
      <c r="E179" s="1"/>
      <c r="F179" s="4">
        <v>45758</v>
      </c>
      <c r="G179" s="1" t="s">
        <v>111</v>
      </c>
      <c r="H179" s="1" t="s">
        <v>118</v>
      </c>
      <c r="I179" s="1" t="s">
        <v>119</v>
      </c>
      <c r="J179" s="1" t="s">
        <v>112</v>
      </c>
      <c r="K179" s="1"/>
      <c r="L179" s="1" t="s">
        <v>113</v>
      </c>
      <c r="M179" s="1"/>
      <c r="N179" s="1"/>
      <c r="O179" s="1"/>
      <c r="P179" s="5">
        <v>45758.668067129627</v>
      </c>
      <c r="Q179" s="1" t="s">
        <v>540</v>
      </c>
    </row>
    <row r="180" spans="1:17" x14ac:dyDescent="0.25">
      <c r="A180" s="1" t="s">
        <v>31</v>
      </c>
      <c r="B180" s="1" t="s">
        <v>538</v>
      </c>
      <c r="C180" s="3">
        <v>27775411000105</v>
      </c>
      <c r="D180" s="1" t="s">
        <v>541</v>
      </c>
      <c r="E180" s="1"/>
      <c r="F180" s="4">
        <v>45770</v>
      </c>
      <c r="G180" s="1" t="s">
        <v>111</v>
      </c>
      <c r="H180" s="1" t="s">
        <v>118</v>
      </c>
      <c r="I180" s="1" t="s">
        <v>119</v>
      </c>
      <c r="J180" s="1" t="s">
        <v>133</v>
      </c>
      <c r="K180" s="4">
        <v>45770</v>
      </c>
      <c r="L180" s="1" t="s">
        <v>113</v>
      </c>
      <c r="M180" s="1" t="s">
        <v>155</v>
      </c>
      <c r="N180" s="1"/>
      <c r="O180" s="1"/>
      <c r="P180" s="5">
        <v>45770.725462962961</v>
      </c>
      <c r="Q180" s="1" t="s">
        <v>540</v>
      </c>
    </row>
    <row r="181" spans="1:17" x14ac:dyDescent="0.25">
      <c r="A181" s="1" t="s">
        <v>32</v>
      </c>
      <c r="B181" s="1" t="s">
        <v>542</v>
      </c>
      <c r="C181" s="3">
        <v>26179697000101</v>
      </c>
      <c r="D181" s="1" t="s">
        <v>543</v>
      </c>
      <c r="E181" s="1"/>
      <c r="F181" s="4">
        <v>45784</v>
      </c>
      <c r="G181" s="1" t="s">
        <v>111</v>
      </c>
      <c r="H181" s="1" t="s">
        <v>118</v>
      </c>
      <c r="I181" s="1" t="s">
        <v>119</v>
      </c>
      <c r="J181" s="1" t="s">
        <v>112</v>
      </c>
      <c r="K181" s="1"/>
      <c r="L181" s="1" t="s">
        <v>113</v>
      </c>
      <c r="M181" s="1"/>
      <c r="N181" s="1"/>
      <c r="O181" s="1"/>
      <c r="P181" s="5">
        <v>45784.495208333334</v>
      </c>
      <c r="Q181" s="1" t="s">
        <v>544</v>
      </c>
    </row>
    <row r="182" spans="1:17" x14ac:dyDescent="0.25">
      <c r="A182" s="1" t="s">
        <v>32</v>
      </c>
      <c r="B182" s="1" t="s">
        <v>545</v>
      </c>
      <c r="C182" s="3">
        <v>33337122021124</v>
      </c>
      <c r="D182" s="1" t="s">
        <v>546</v>
      </c>
      <c r="E182" s="1"/>
      <c r="F182" s="4">
        <v>45796</v>
      </c>
      <c r="G182" s="1" t="s">
        <v>111</v>
      </c>
      <c r="H182" s="1" t="s">
        <v>118</v>
      </c>
      <c r="I182" s="1" t="s">
        <v>119</v>
      </c>
      <c r="J182" s="1" t="s">
        <v>112</v>
      </c>
      <c r="K182" s="1"/>
      <c r="L182" s="1" t="s">
        <v>113</v>
      </c>
      <c r="M182" s="1"/>
      <c r="N182" s="1"/>
      <c r="O182" s="1"/>
      <c r="P182" s="5">
        <v>45796.390069444446</v>
      </c>
      <c r="Q182" s="1" t="s">
        <v>547</v>
      </c>
    </row>
    <row r="183" spans="1:17" x14ac:dyDescent="0.25">
      <c r="A183" s="1" t="s">
        <v>33</v>
      </c>
      <c r="B183" s="1" t="s">
        <v>34</v>
      </c>
      <c r="C183" s="3">
        <v>18752824000183</v>
      </c>
      <c r="D183" s="1" t="s">
        <v>548</v>
      </c>
      <c r="E183" s="1"/>
      <c r="F183" s="4">
        <v>45787</v>
      </c>
      <c r="G183" s="1" t="s">
        <v>549</v>
      </c>
      <c r="H183" s="1" t="s">
        <v>55</v>
      </c>
      <c r="I183" s="1" t="s">
        <v>56</v>
      </c>
      <c r="J183" s="1" t="s">
        <v>133</v>
      </c>
      <c r="K183" s="4">
        <v>45817</v>
      </c>
      <c r="L183" s="1" t="s">
        <v>113</v>
      </c>
      <c r="M183" s="1" t="s">
        <v>155</v>
      </c>
      <c r="N183" s="1" t="s">
        <v>55</v>
      </c>
      <c r="O183" s="1" t="s">
        <v>550</v>
      </c>
      <c r="P183" s="1"/>
      <c r="Q183" s="1"/>
    </row>
    <row r="184" spans="1:17" x14ac:dyDescent="0.25">
      <c r="A184" s="1" t="s">
        <v>33</v>
      </c>
      <c r="B184" s="1" t="s">
        <v>551</v>
      </c>
      <c r="C184" s="3">
        <v>3773834000128</v>
      </c>
      <c r="D184" s="1" t="s">
        <v>552</v>
      </c>
      <c r="E184" s="1"/>
      <c r="F184" s="4">
        <v>45839</v>
      </c>
      <c r="G184" s="1" t="s">
        <v>549</v>
      </c>
      <c r="H184" s="1" t="s">
        <v>118</v>
      </c>
      <c r="I184" s="1" t="s">
        <v>119</v>
      </c>
      <c r="J184" s="1" t="s">
        <v>112</v>
      </c>
      <c r="K184" s="1"/>
      <c r="L184" s="1" t="s">
        <v>113</v>
      </c>
      <c r="M184" s="1"/>
      <c r="N184" s="1"/>
      <c r="O184" s="1"/>
      <c r="P184" s="5">
        <v>45839.614907407406</v>
      </c>
      <c r="Q184" s="1" t="s">
        <v>553</v>
      </c>
    </row>
    <row r="185" spans="1:17" x14ac:dyDescent="0.25">
      <c r="A185" s="1" t="s">
        <v>33</v>
      </c>
      <c r="B185" s="1" t="s">
        <v>551</v>
      </c>
      <c r="C185" s="3">
        <v>3773834001442</v>
      </c>
      <c r="D185" s="1" t="s">
        <v>554</v>
      </c>
      <c r="E185" s="1"/>
      <c r="F185" s="4">
        <v>45817</v>
      </c>
      <c r="G185" s="1" t="s">
        <v>111</v>
      </c>
      <c r="H185" s="1" t="s">
        <v>118</v>
      </c>
      <c r="I185" s="1" t="s">
        <v>119</v>
      </c>
      <c r="J185" s="1" t="s">
        <v>133</v>
      </c>
      <c r="K185" s="4">
        <v>45839</v>
      </c>
      <c r="L185" s="1" t="s">
        <v>113</v>
      </c>
      <c r="M185" s="1" t="s">
        <v>161</v>
      </c>
      <c r="N185" s="1"/>
      <c r="O185" s="1"/>
      <c r="P185" s="5">
        <v>45817.780474537038</v>
      </c>
      <c r="Q185" s="1" t="s">
        <v>555</v>
      </c>
    </row>
    <row r="186" spans="1:17" x14ac:dyDescent="0.25">
      <c r="A186" s="1" t="s">
        <v>35</v>
      </c>
      <c r="B186" s="1" t="s">
        <v>34</v>
      </c>
      <c r="C186" s="3">
        <v>18752824000183</v>
      </c>
      <c r="D186" s="1" t="s">
        <v>556</v>
      </c>
      <c r="E186" s="1"/>
      <c r="F186" s="4">
        <v>45806</v>
      </c>
      <c r="G186" s="1" t="s">
        <v>111</v>
      </c>
      <c r="H186" s="1" t="s">
        <v>118</v>
      </c>
      <c r="I186" s="1" t="s">
        <v>119</v>
      </c>
      <c r="J186" s="1" t="s">
        <v>133</v>
      </c>
      <c r="K186" s="4">
        <v>45839</v>
      </c>
      <c r="L186" s="1" t="s">
        <v>113</v>
      </c>
      <c r="M186" s="1" t="s">
        <v>118</v>
      </c>
      <c r="N186" s="1"/>
      <c r="O186" s="1"/>
      <c r="P186" s="1"/>
      <c r="Q186" s="1"/>
    </row>
    <row r="187" spans="1:17" x14ac:dyDescent="0.25">
      <c r="A187" s="1" t="s">
        <v>36</v>
      </c>
      <c r="B187" s="1" t="s">
        <v>557</v>
      </c>
      <c r="C187" s="3">
        <v>8377474000169</v>
      </c>
      <c r="D187" s="1" t="s">
        <v>558</v>
      </c>
      <c r="E187" s="1"/>
      <c r="F187" s="4">
        <v>45810</v>
      </c>
      <c r="G187" s="1" t="s">
        <v>111</v>
      </c>
      <c r="H187" s="1" t="s">
        <v>118</v>
      </c>
      <c r="I187" s="1" t="s">
        <v>119</v>
      </c>
      <c r="J187" s="1" t="s">
        <v>120</v>
      </c>
      <c r="K187" s="1"/>
      <c r="L187" s="1" t="s">
        <v>113</v>
      </c>
      <c r="M187" s="1"/>
      <c r="N187" s="1"/>
      <c r="O187" s="1"/>
      <c r="P187" s="1"/>
      <c r="Q187" s="1"/>
    </row>
    <row r="190" spans="1:17" x14ac:dyDescent="0.25">
      <c r="C190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CLIENTE</vt:lpstr>
      <vt:lpstr>UNIDADES</vt:lpstr>
      <vt:lpstr>USUARIOS</vt:lpstr>
      <vt:lpstr>FORNECEDORES</vt:lpstr>
      <vt:lpstr>UNIDADES!_FiltrarBancodeDados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Jhonatan Sampaio Ferreira</cp:lastModifiedBy>
  <dcterms:created xsi:type="dcterms:W3CDTF">2025-07-25T15:09:41Z</dcterms:created>
  <dcterms:modified xsi:type="dcterms:W3CDTF">2025-08-19T13:06:28Z</dcterms:modified>
</cp:coreProperties>
</file>